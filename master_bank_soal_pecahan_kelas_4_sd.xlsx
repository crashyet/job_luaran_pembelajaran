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<sst xmlns="http://schemas.openxmlformats.org/spreadsheetml/2006/main" count="823" uniqueCount="364">
  <si>
    <t xml:space="preserve">No</t>
  </si>
  <si>
    <t xml:space="preserve">Kode Soal</t>
  </si>
  <si>
    <t xml:space="preserve">Level</t>
  </si>
  <si>
    <t xml:space="preserve">Subtopik</t>
  </si>
  <si>
    <t xml:space="preserve">Indikator</t>
  </si>
  <si>
    <t xml:space="preserve">Taksonomi</t>
  </si>
  <si>
    <t xml:space="preserve">Pertanyaan</t>
  </si>
  <si>
    <t xml:space="preserve">Pilihan A</t>
  </si>
  <si>
    <t xml:space="preserve">Pilihan B</t>
  </si>
  <si>
    <t xml:space="preserve">Pilihan C</t>
  </si>
  <si>
    <t xml:space="preserve">Pilihan D</t>
  </si>
  <si>
    <t xml:space="preserve">Kunci</t>
  </si>
  <si>
    <t xml:space="preserve">Indeks Jawaban</t>
  </si>
  <si>
    <t xml:space="preserve">Pembahasan</t>
  </si>
  <si>
    <t xml:space="preserve">Waktu (detik)</t>
  </si>
  <si>
    <t xml:space="preserve">Sesi Rekomendasi</t>
  </si>
  <si>
    <t xml:space="preserve">Jika Benar</t>
  </si>
  <si>
    <t xml:space="preserve">Jika Salah</t>
  </si>
  <si>
    <t xml:space="preserve">Status Validasi</t>
  </si>
  <si>
    <t xml:space="preserve">Cek Kelengkapan</t>
  </si>
  <si>
    <t xml:space="preserve">Cek Kunci</t>
  </si>
  <si>
    <t xml:space="preserve">Cek Duplikasi Opsi</t>
  </si>
  <si>
    <t xml:space="preserve">Cek Final</t>
  </si>
  <si>
    <t xml:space="preserve">P04-001</t>
  </si>
  <si>
    <t xml:space="preserve">Mudah</t>
  </si>
  <si>
    <t xml:space="preserve">Penjumlahan penyebut sama</t>
  </si>
  <si>
    <t xml:space="preserve">Menjumlahkan pecahan berpenyebut sama</t>
  </si>
  <si>
    <t xml:space="preserve">C2-C3</t>
  </si>
  <si>
    <t xml:space="preserve">Hasil paling sederhana dari 2/8 + 3/8 adalah ...</t>
  </si>
  <si>
    <t xml:space="preserve">3/8</t>
  </si>
  <si>
    <t xml:space="preserve">5/8</t>
  </si>
  <si>
    <t xml:space="preserve">5/16</t>
  </si>
  <si>
    <t xml:space="preserve">1/8</t>
  </si>
  <si>
    <t xml:space="preserve">B</t>
  </si>
  <si>
    <t xml:space="preserve">2/8 + 3/8 = 5/8.</t>
  </si>
  <si>
    <t xml:space="preserve">Sesi 1 - Pemetaan</t>
  </si>
  <si>
    <t xml:space="preserve">Naik/pertahankan level; lanjut soal berikutnya</t>
  </si>
  <si>
    <t xml:space="preserve">Berikan soal setara lebih mudah dan catat subtopik lemah</t>
  </si>
  <si>
    <t xml:space="preserve">Siap ditinjau guru</t>
  </si>
  <si>
    <t xml:space="preserve">P04-002</t>
  </si>
  <si>
    <t xml:space="preserve">Pengurangan penyebut sama</t>
  </si>
  <si>
    <t xml:space="preserve">Mengurangkan pecahan berpenyebut sama</t>
  </si>
  <si>
    <t xml:space="preserve">Hasil paling sederhana dari 7/10 - 4/10 adalah ...</t>
  </si>
  <si>
    <t xml:space="preserve">3/10</t>
  </si>
  <si>
    <t xml:space="preserve">3/20</t>
  </si>
  <si>
    <t xml:space="preserve">11/10</t>
  </si>
  <si>
    <t xml:space="preserve">1/10</t>
  </si>
  <si>
    <t xml:space="preserve">A</t>
  </si>
  <si>
    <t xml:space="preserve">7/10 - 4/10 = 3/10.</t>
  </si>
  <si>
    <t xml:space="preserve">P04-003</t>
  </si>
  <si>
    <t xml:space="preserve">Nilai 1/5 + 2/5 adalah ...</t>
  </si>
  <si>
    <t xml:space="preserve">2/10</t>
  </si>
  <si>
    <t xml:space="preserve">3/5</t>
  </si>
  <si>
    <t xml:space="preserve">1/5</t>
  </si>
  <si>
    <t xml:space="preserve">1/5 + 2/5 = 3/5.</t>
  </si>
  <si>
    <t xml:space="preserve">P04-004</t>
  </si>
  <si>
    <t xml:space="preserve">Hasil paling sederhana dari 6/9 - 2/9 adalah ...</t>
  </si>
  <si>
    <t xml:space="preserve">4/9</t>
  </si>
  <si>
    <t xml:space="preserve">4/18</t>
  </si>
  <si>
    <t xml:space="preserve">8/9</t>
  </si>
  <si>
    <t xml:space="preserve">2/9</t>
  </si>
  <si>
    <t xml:space="preserve">6/9 - 2/9 = 4/9.</t>
  </si>
  <si>
    <t xml:space="preserve">P04-005</t>
  </si>
  <si>
    <t xml:space="preserve">Penjumlahan penyebut berbeda</t>
  </si>
  <si>
    <t xml:space="preserve">Menyederhanakan hasil penjumlahan</t>
  </si>
  <si>
    <t xml:space="preserve">Hasil paling sederhana dari 3/12 + 5/12 adalah ...</t>
  </si>
  <si>
    <t xml:space="preserve">8/24</t>
  </si>
  <si>
    <t xml:space="preserve">2/3</t>
  </si>
  <si>
    <t xml:space="preserve">5/12</t>
  </si>
  <si>
    <t xml:space="preserve">1/3</t>
  </si>
  <si>
    <t xml:space="preserve">3/12 + 5/12 = 8/12 = 2/3.</t>
  </si>
  <si>
    <t xml:space="preserve">P04-006</t>
  </si>
  <si>
    <t xml:space="preserve">Pengurangan penyebut berbeda</t>
  </si>
  <si>
    <t xml:space="preserve">Menyederhanakan hasil pengurangan</t>
  </si>
  <si>
    <t xml:space="preserve">Hasil paling sederhana dari 9/10 - 3/10 adalah ...</t>
  </si>
  <si>
    <t xml:space="preserve">6/20</t>
  </si>
  <si>
    <t xml:space="preserve">12/10</t>
  </si>
  <si>
    <t xml:space="preserve">9/10 - 3/10 = 6/10 = 3/5.</t>
  </si>
  <si>
    <t xml:space="preserve">P04-007</t>
  </si>
  <si>
    <t xml:space="preserve">Menjumlahkan dua pecahan sama</t>
  </si>
  <si>
    <t xml:space="preserve">Nilai 1/4 + 1/4 adalah ...</t>
  </si>
  <si>
    <t xml:space="preserve">1/2</t>
  </si>
  <si>
    <t xml:space="preserve">1/4</t>
  </si>
  <si>
    <t xml:space="preserve">1/4 + 1/4 = 2/4 = 1/2.</t>
  </si>
  <si>
    <t xml:space="preserve">P04-008</t>
  </si>
  <si>
    <t xml:space="preserve">Hasil paling sederhana dari 5/6 - 1/6 adalah ...</t>
  </si>
  <si>
    <t xml:space="preserve">4/6</t>
  </si>
  <si>
    <t xml:space="preserve">1/6</t>
  </si>
  <si>
    <t xml:space="preserve">5/6 - 1/6 = 4/6 = 2/3.</t>
  </si>
  <si>
    <t xml:space="preserve">P04-009</t>
  </si>
  <si>
    <t xml:space="preserve">Pecahan senilai</t>
  </si>
  <si>
    <t xml:space="preserve">Mengenali pecahan senilai</t>
  </si>
  <si>
    <t xml:space="preserve">Pecahan yang senilai dengan 1/2 adalah ...</t>
  </si>
  <si>
    <t xml:space="preserve">3/6</t>
  </si>
  <si>
    <t xml:space="preserve">4/10</t>
  </si>
  <si>
    <t xml:space="preserve">1/2 dikali 3/3 menjadi 3/6.</t>
  </si>
  <si>
    <t xml:space="preserve">P04-010</t>
  </si>
  <si>
    <t xml:space="preserve">Menjumlahkan pecahan menjadi satu utuh</t>
  </si>
  <si>
    <t xml:space="preserve">Nilai 2/3 + 1/3 adalah ...</t>
  </si>
  <si>
    <t xml:space="preserve">2/6</t>
  </si>
  <si>
    <t xml:space="preserve">1</t>
  </si>
  <si>
    <t xml:space="preserve">C</t>
  </si>
  <si>
    <t xml:space="preserve">2/3 + 1/3 = 3/3 = 1.</t>
  </si>
  <si>
    <t xml:space="preserve">P04-011</t>
  </si>
  <si>
    <t xml:space="preserve">Mengurangkan pecahan dari satu utuh</t>
  </si>
  <si>
    <t xml:space="preserve">Hasil dari 1 - 3/8 adalah ...</t>
  </si>
  <si>
    <t xml:space="preserve">4/8</t>
  </si>
  <si>
    <t xml:space="preserve">6/8</t>
  </si>
  <si>
    <t xml:space="preserve">1 = 8/8, sehingga 8/8 - 3/8 = 5/8.</t>
  </si>
  <si>
    <t xml:space="preserve">P04-012</t>
  </si>
  <si>
    <t xml:space="preserve">Nilai 4/7 + 2/7 adalah ...</t>
  </si>
  <si>
    <t xml:space="preserve">6/7</t>
  </si>
  <si>
    <t xml:space="preserve">6/14</t>
  </si>
  <si>
    <t xml:space="preserve">2/7</t>
  </si>
  <si>
    <t xml:space="preserve">4/7 + 2/7 = 6/7.</t>
  </si>
  <si>
    <t xml:space="preserve">P04-013</t>
  </si>
  <si>
    <t xml:space="preserve">Hasil paling sederhana dari 11/12 - 5/12 adalah ...</t>
  </si>
  <si>
    <t xml:space="preserve">6/12</t>
  </si>
  <si>
    <t xml:space="preserve">5/7</t>
  </si>
  <si>
    <t xml:space="preserve">11/12 - 5/12 = 6/12 = 1/2.</t>
  </si>
  <si>
    <t xml:space="preserve">P04-014</t>
  </si>
  <si>
    <t xml:space="preserve">Soal cerita operasi pecahan</t>
  </si>
  <si>
    <t xml:space="preserve">Menyelesaikan soal cerita penjumlahan</t>
  </si>
  <si>
    <t xml:space="preserve">Rani menggunakan 2/9 meter pita merah dan 4/9 meter pita biru. Jumlah pita yang digunakan adalah ...</t>
  </si>
  <si>
    <t xml:space="preserve">2/3 meter</t>
  </si>
  <si>
    <t xml:space="preserve">6/18 meter</t>
  </si>
  <si>
    <t xml:space="preserve">4/9 meter</t>
  </si>
  <si>
    <t xml:space="preserve">8/9 meter</t>
  </si>
  <si>
    <t xml:space="preserve">2/9 + 4/9 = 6/9 = 2/3 meter.</t>
  </si>
  <si>
    <t xml:space="preserve">P04-015</t>
  </si>
  <si>
    <t xml:space="preserve">Soal cerita menentukan sisa</t>
  </si>
  <si>
    <t xml:space="preserve">Menyelesaikan soal cerita pengurangan</t>
  </si>
  <si>
    <t xml:space="preserve">Sebuah pizza tersisa 7/8 bagian. Kemudian dimakan 3/8 bagian. Sisa pizza adalah ...</t>
  </si>
  <si>
    <t xml:space="preserve">7/16</t>
  </si>
  <si>
    <t xml:space="preserve">7/8 - 3/8 = 4/8 = 1/2.</t>
  </si>
  <si>
    <t xml:space="preserve">P04-016</t>
  </si>
  <si>
    <t xml:space="preserve">Operasi campuran multi-langkah</t>
  </si>
  <si>
    <t xml:space="preserve">Menghitung tiga pecahan berpenyebut sama</t>
  </si>
  <si>
    <t xml:space="preserve">Hasil paling sederhana dari 3/5 + 1/5 - 2/5 adalah ...</t>
  </si>
  <si>
    <t xml:space="preserve">2/5</t>
  </si>
  <si>
    <t xml:space="preserve">4/5</t>
  </si>
  <si>
    <t xml:space="preserve">2/15</t>
  </si>
  <si>
    <t xml:space="preserve">(3 + 1 - 2)/5 = 2/5.</t>
  </si>
  <si>
    <t xml:space="preserve">Sesi 2 - Latihan</t>
  </si>
  <si>
    <t xml:space="preserve">P04-017</t>
  </si>
  <si>
    <t xml:space="preserve">Nilai dari 2/6 + 3/6 adalah ...</t>
  </si>
  <si>
    <t xml:space="preserve">5/6</t>
  </si>
  <si>
    <t xml:space="preserve">2/6 + 3/6 = 5/6.</t>
  </si>
  <si>
    <t xml:space="preserve">P04-018</t>
  </si>
  <si>
    <t xml:space="preserve">Sedang</t>
  </si>
  <si>
    <t xml:space="preserve">Menjumlahkan pecahan berpenyebut berbeda</t>
  </si>
  <si>
    <t xml:space="preserve">C3</t>
  </si>
  <si>
    <t xml:space="preserve">Hasil paling sederhana dari 1/2 + 1/4 adalah ...</t>
  </si>
  <si>
    <t xml:space="preserve">3/4</t>
  </si>
  <si>
    <t xml:space="preserve">1/2 = 2/4, sehingga 2/4 + 1/4 = 3/4.</t>
  </si>
  <si>
    <t xml:space="preserve">P04-019</t>
  </si>
  <si>
    <t xml:space="preserve">Mengurangkan pecahan berpenyebut berbeda</t>
  </si>
  <si>
    <t xml:space="preserve">Hasil dari 3/4 - 1/2 adalah ...</t>
  </si>
  <si>
    <t xml:space="preserve">2/2</t>
  </si>
  <si>
    <t xml:space="preserve">2/4</t>
  </si>
  <si>
    <t xml:space="preserve">1/2 = 2/4, sehingga 3/4 - 2/4 = 1/4.</t>
  </si>
  <si>
    <t xml:space="preserve">P04-020</t>
  </si>
  <si>
    <t xml:space="preserve">Menjumlahkan dengan KPK 6</t>
  </si>
  <si>
    <t xml:space="preserve">Nilai 2/3 + 1/6 adalah ...</t>
  </si>
  <si>
    <t xml:space="preserve">3/9</t>
  </si>
  <si>
    <t xml:space="preserve">2/3 = 4/6, sehingga 4/6 + 1/6 = 5/6.</t>
  </si>
  <si>
    <t xml:space="preserve">P04-021</t>
  </si>
  <si>
    <t xml:space="preserve">Mengurangkan dengan KPK 6</t>
  </si>
  <si>
    <t xml:space="preserve">Hasil paling sederhana dari 5/6 - 1/3 adalah ...</t>
  </si>
  <si>
    <t xml:space="preserve">4/3</t>
  </si>
  <si>
    <t xml:space="preserve">1/3 = 2/6, sehingga 5/6 - 2/6 = 3/6 = 1/2.</t>
  </si>
  <si>
    <t xml:space="preserve">P04-022</t>
  </si>
  <si>
    <t xml:space="preserve">Menjumlahkan dengan KPK 10</t>
  </si>
  <si>
    <t xml:space="preserve">Nilai 3/5 + 1/10 adalah ...</t>
  </si>
  <si>
    <t xml:space="preserve">4/15</t>
  </si>
  <si>
    <t xml:space="preserve">7/10</t>
  </si>
  <si>
    <t xml:space="preserve">3/5 = 6/10, sehingga 6/10 + 1/10 = 7/10.</t>
  </si>
  <si>
    <t xml:space="preserve">P04-023</t>
  </si>
  <si>
    <t xml:space="preserve">Mengurangkan dengan penyebut 8</t>
  </si>
  <si>
    <t xml:space="preserve">Hasil dari 7/8 - 1/4 adalah ...</t>
  </si>
  <si>
    <t xml:space="preserve">6/4</t>
  </si>
  <si>
    <t xml:space="preserve">1/4 = 2/8, sehingga 7/8 - 2/8 = 5/8.</t>
  </si>
  <si>
    <t xml:space="preserve">P04-024</t>
  </si>
  <si>
    <t xml:space="preserve">Operasi pecahan campuran</t>
  </si>
  <si>
    <t xml:space="preserve">Menjumlahkan pecahan campuran sederhana</t>
  </si>
  <si>
    <t xml:space="preserve">Nilai 1 1/2 + 1/4 adalah ...</t>
  </si>
  <si>
    <t xml:space="preserve">1 2/6</t>
  </si>
  <si>
    <t xml:space="preserve">1 3/4</t>
  </si>
  <si>
    <t xml:space="preserve">2</t>
  </si>
  <si>
    <t xml:space="preserve">1 1/4</t>
  </si>
  <si>
    <t xml:space="preserve">1 1/2 = 1 2/4, lalu ditambah 1/4 menjadi 1 3/4.</t>
  </si>
  <si>
    <t xml:space="preserve">P04-025</t>
  </si>
  <si>
    <t xml:space="preserve">Mengurangkan pecahan dari bilangan bulat</t>
  </si>
  <si>
    <t xml:space="preserve">Hasil dari 2 - 3/5 adalah ...</t>
  </si>
  <si>
    <t xml:space="preserve">1 2/5</t>
  </si>
  <si>
    <t xml:space="preserve">1 3/5</t>
  </si>
  <si>
    <t xml:space="preserve">2 2/5</t>
  </si>
  <si>
    <t xml:space="preserve">2 = 1 5/5, lalu 1 5/5 - 3/5 = 1 2/5.</t>
  </si>
  <si>
    <t xml:space="preserve">P04-026</t>
  </si>
  <si>
    <t xml:space="preserve">Mengurangkan dengan KPK 12</t>
  </si>
  <si>
    <t xml:space="preserve">Hasil paling sederhana dari 2/3 - 1/4 adalah ...</t>
  </si>
  <si>
    <t xml:space="preserve">1/12</t>
  </si>
  <si>
    <t xml:space="preserve">1/7</t>
  </si>
  <si>
    <t xml:space="preserve">2/3 = 8/12 dan 1/4 = 3/12, hasil 5/12.</t>
  </si>
  <si>
    <t xml:space="preserve">P04-027</t>
  </si>
  <si>
    <t xml:space="preserve">Menjumlahkan dengan penyebut 8</t>
  </si>
  <si>
    <t xml:space="preserve">Nilai 3/8 + 1/2 adalah ...</t>
  </si>
  <si>
    <t xml:space="preserve">7/8</t>
  </si>
  <si>
    <t xml:space="preserve">1/2 = 4/8, sehingga 3/8 + 4/8 = 7/8.</t>
  </si>
  <si>
    <t xml:space="preserve">P04-028</t>
  </si>
  <si>
    <t xml:space="preserve">Menjumlahkan dua pecahan menjadi lebih dari satu</t>
  </si>
  <si>
    <t xml:space="preserve">Hasil dari 5/6 + 1/4 adalah ...</t>
  </si>
  <si>
    <t xml:space="preserve">1 1/12</t>
  </si>
  <si>
    <t xml:space="preserve">6/10</t>
  </si>
  <si>
    <t xml:space="preserve">1 5/24</t>
  </si>
  <si>
    <t xml:space="preserve">11/12</t>
  </si>
  <si>
    <t xml:space="preserve">5/6 = 10/12 dan 1/4 = 3/12, jadi 13/12 = 1 1/12.</t>
  </si>
  <si>
    <t xml:space="preserve">P04-029</t>
  </si>
  <si>
    <t xml:space="preserve">Mengurangkan pecahan campuran</t>
  </si>
  <si>
    <t xml:space="preserve">Nilai 1 3/4 - 2/3 adalah ...</t>
  </si>
  <si>
    <t xml:space="preserve">1 5/12</t>
  </si>
  <si>
    <t xml:space="preserve">13/24</t>
  </si>
  <si>
    <t xml:space="preserve">1 1/3</t>
  </si>
  <si>
    <t xml:space="preserve">7/4 - 2/3 = 21/12 - 8/12 = 13/12 = 1 1/12.</t>
  </si>
  <si>
    <t xml:space="preserve">P04-030</t>
  </si>
  <si>
    <t xml:space="preserve">Soal cerita penjumlahan pecahan berbeda penyebut</t>
  </si>
  <si>
    <t xml:space="preserve">Ibu memiliki 3/4 liter sirup lalu menambah 1/2 liter. Jumlah sirup sekarang adalah ...</t>
  </si>
  <si>
    <t xml:space="preserve">1 1/4 liter</t>
  </si>
  <si>
    <t xml:space="preserve">1/4 liter</t>
  </si>
  <si>
    <t xml:space="preserve">5/8 liter</t>
  </si>
  <si>
    <t xml:space="preserve">1 1/2 liter</t>
  </si>
  <si>
    <t xml:space="preserve">3/4 + 1/2 = 3/4 + 2/4 = 5/4 = 1 1/4 liter.</t>
  </si>
  <si>
    <t xml:space="preserve">P04-031</t>
  </si>
  <si>
    <t xml:space="preserve">Soal cerita pengurangan pecahan</t>
  </si>
  <si>
    <t xml:space="preserve">Dari 5/6 bagian kebun yang ditanami, 1/4 bagian kebun dipanen. Bagian kebun yang masih ditanami adalah ...</t>
  </si>
  <si>
    <t xml:space="preserve">7/12</t>
  </si>
  <si>
    <t xml:space="preserve">5/6 - 1/4 = 10/12 - 3/12 = 7/12.</t>
  </si>
  <si>
    <t xml:space="preserve">Sesi 3 - Pendalaman</t>
  </si>
  <si>
    <t xml:space="preserve">P04-032</t>
  </si>
  <si>
    <t xml:space="preserve">Soal cerita penjumlahan dengan KPK 20</t>
  </si>
  <si>
    <t xml:space="preserve">Dina membaca 2/5 bagian buku pada Senin dan 1/4 bagian pada Selasa. Total bagian yang dibaca adalah ...</t>
  </si>
  <si>
    <t xml:space="preserve">13/20</t>
  </si>
  <si>
    <t xml:space="preserve">7/20</t>
  </si>
  <si>
    <t xml:space="preserve">2/5 = 8/20 dan 1/4 = 5/20, total 13/20.</t>
  </si>
  <si>
    <t xml:space="preserve">P04-033</t>
  </si>
  <si>
    <t xml:space="preserve">Soal cerita pengurangan dengan KPK 24</t>
  </si>
  <si>
    <t xml:space="preserve">Sebuah tangki berisi 7/8 bagian air. Sebanyak 1/3 bagian tangki digunakan. Sisa air adalah ...</t>
  </si>
  <si>
    <t xml:space="preserve">6/11</t>
  </si>
  <si>
    <t xml:space="preserve">7/8 = 21/24 dan 1/3 = 8/24, sisa 13/24.</t>
  </si>
  <si>
    <t xml:space="preserve">P04-034</t>
  </si>
  <si>
    <t xml:space="preserve">Menjumlahkan tiga pecahan berbeda penyebut</t>
  </si>
  <si>
    <t xml:space="preserve">Hasil dari 1/2 + 1/3 + 1/6 adalah ...</t>
  </si>
  <si>
    <t xml:space="preserve">1 1/6</t>
  </si>
  <si>
    <t xml:space="preserve">3/6 + 2/6 + 1/6 = 6/6 = 1.</t>
  </si>
  <si>
    <t xml:space="preserve">P04-035</t>
  </si>
  <si>
    <t xml:space="preserve">Sulit</t>
  </si>
  <si>
    <t xml:space="preserve">Operasi tiga pecahan</t>
  </si>
  <si>
    <t xml:space="preserve">C4</t>
  </si>
  <si>
    <t xml:space="preserve">Hasil paling sederhana dari 3/4 + 2/3 - 1/6 adalah ...</t>
  </si>
  <si>
    <t xml:space="preserve">9/12 + 8/12 - 2/12 = 15/12 = 1 1/4.</t>
  </si>
  <si>
    <t xml:space="preserve">P04-036</t>
  </si>
  <si>
    <t xml:space="preserve">Pengurangan pecahan campuran</t>
  </si>
  <si>
    <t xml:space="preserve">Nilai 2 1/5 - 3/4 adalah ...</t>
  </si>
  <si>
    <t xml:space="preserve">1 9/20</t>
  </si>
  <si>
    <t xml:space="preserve">1 7/20</t>
  </si>
  <si>
    <t xml:space="preserve">29/10</t>
  </si>
  <si>
    <t xml:space="preserve">2 1/5 = 44/20 dan 3/4 = 15/20, hasil 29/20 = 1 9/20.</t>
  </si>
  <si>
    <t xml:space="preserve">P04-037</t>
  </si>
  <si>
    <t xml:space="preserve">Penjumlahan pecahan campuran</t>
  </si>
  <si>
    <t xml:space="preserve">Hasil dari 1 2/3 + 3/4 adalah ...</t>
  </si>
  <si>
    <t xml:space="preserve">2 5/12</t>
  </si>
  <si>
    <t xml:space="preserve">2 1/4</t>
  </si>
  <si>
    <t xml:space="preserve">1 5/7</t>
  </si>
  <si>
    <t xml:space="preserve">29/24</t>
  </si>
  <si>
    <t xml:space="preserve">5/3 + 3/4 = 20/12 + 9/12 = 29/12 = 2 5/12.</t>
  </si>
  <si>
    <t xml:space="preserve">P04-038</t>
  </si>
  <si>
    <t xml:space="preserve">Operasi dengan tanda kurung</t>
  </si>
  <si>
    <t xml:space="preserve">Nilai 3 - (5/8 + 3/4) adalah ...</t>
  </si>
  <si>
    <t xml:space="preserve">1 5/8</t>
  </si>
  <si>
    <t xml:space="preserve">1 3/8</t>
  </si>
  <si>
    <t xml:space="preserve">2 1/8</t>
  </si>
  <si>
    <t xml:space="preserve">5/8 + 3/4 = 11/8. Lalu 3 = 24/8, sehingga sisanya 13/8 = 1 5/8.</t>
  </si>
  <si>
    <t xml:space="preserve">P04-039</t>
  </si>
  <si>
    <t xml:space="preserve">Soal cerita pecahan campuran</t>
  </si>
  <si>
    <t xml:space="preserve">Soal cerita dua kali pengurangan</t>
  </si>
  <si>
    <t xml:space="preserve">Ibu mempunyai 2 1/2 kg beras. Digunakan 3/4 kg dan 2/5 kg. Sisa beras adalah ...</t>
  </si>
  <si>
    <t xml:space="preserve">1 7/20 kg</t>
  </si>
  <si>
    <t xml:space="preserve">1 3/20 kg</t>
  </si>
  <si>
    <t xml:space="preserve">1 9/20 kg</t>
  </si>
  <si>
    <t xml:space="preserve">27/10 kg</t>
  </si>
  <si>
    <t xml:space="preserve">2 1/2 - 3/4 - 2/5 = 50/20 - 15/20 - 8/20 = 27/20 = 1 7/20 kg.</t>
  </si>
  <si>
    <t xml:space="preserve">P04-040</t>
  </si>
  <si>
    <t xml:space="preserve">Soal cerita multi-langkah</t>
  </si>
  <si>
    <t xml:space="preserve">Pita sepanjang 3 1/4 meter dipotong 5/6 meter dan 3/8 meter. Sisa pita adalah ...</t>
  </si>
  <si>
    <t xml:space="preserve">2 1/24 meter</t>
  </si>
  <si>
    <t xml:space="preserve">2 5/24 meter</t>
  </si>
  <si>
    <t xml:space="preserve">1 23/24 meter</t>
  </si>
  <si>
    <t xml:space="preserve">49/12 meter</t>
  </si>
  <si>
    <t xml:space="preserve">3 1/4 = 78/24. Potongan = 20/24 + 9/24 = 29/24. Sisa 49/24 = 2 1/24 meter.</t>
  </si>
  <si>
    <t xml:space="preserve">P04-041</t>
  </si>
  <si>
    <t xml:space="preserve">Menentukan sisa dari satu keseluruhan</t>
  </si>
  <si>
    <t xml:space="preserve">Sebanyak 2/5 siswa pergi ke sekolah dengan berjalan kaki dan 1/3 dengan sepeda. Sisanya menggunakan kendaraan lain. Pecahan siswa yang menggunakan kendaraan lain adalah ...</t>
  </si>
  <si>
    <t xml:space="preserve">11/15</t>
  </si>
  <si>
    <t xml:space="preserve">2/5 + 1/3 = 11/15. Sisa = 15/15 - 11/15 = 4/15.</t>
  </si>
  <si>
    <t xml:space="preserve">P04-042</t>
  </si>
  <si>
    <t xml:space="preserve">Operasi tiga pecahan dalam konteks</t>
  </si>
  <si>
    <t xml:space="preserve">Tangki diisi 3/7 bagian pada pagi hari dan 2/5 bagian pada siang hari. Kemudian 1/10 bagian bocor. Isi akhir tangki adalah ...</t>
  </si>
  <si>
    <t xml:space="preserve">51/70</t>
  </si>
  <si>
    <t xml:space="preserve">41/70</t>
  </si>
  <si>
    <t xml:space="preserve">9/12</t>
  </si>
  <si>
    <t xml:space="preserve">4/7</t>
  </si>
  <si>
    <t xml:space="preserve">3/7 + 2/5 - 1/10 = 30/70 + 28/70 - 7/70 = 51/70.</t>
  </si>
  <si>
    <t xml:space="preserve">P04-043</t>
  </si>
  <si>
    <t xml:space="preserve">Operasi tiga pecahan dengan KPK 24</t>
  </si>
  <si>
    <t xml:space="preserve">Nilai 5/6 + 7/12 - 3/8 adalah ...</t>
  </si>
  <si>
    <t xml:space="preserve">1 1/24</t>
  </si>
  <si>
    <t xml:space="preserve">25/48</t>
  </si>
  <si>
    <t xml:space="preserve">20/24 + 14/24 - 9/24 = 25/24 = 1 1/24.</t>
  </si>
  <si>
    <t xml:space="preserve">P04-044</t>
  </si>
  <si>
    <t xml:space="preserve">Persamaan pecahan sederhana</t>
  </si>
  <si>
    <t xml:space="preserve">Menentukan nilai yang belum diketahui</t>
  </si>
  <si>
    <t xml:space="preserve">Jumlah dua pecahan adalah 1 1/6. Jika salah satunya 3/4, pecahan yang lain adalah ...</t>
  </si>
  <si>
    <t xml:space="preserve">11/24</t>
  </si>
  <si>
    <t xml:space="preserve">1 1/6 = 7/6. Jadi 7/6 - 3/4 = 14/12 - 9/12 = 5/12.</t>
  </si>
  <si>
    <t xml:space="preserve">P04-045</t>
  </si>
  <si>
    <t xml:space="preserve">Nilai x yang memenuhi x + 5/12 = 1 1/4 adalah ...</t>
  </si>
  <si>
    <t xml:space="preserve">10/24</t>
  </si>
  <si>
    <t xml:space="preserve">1 2/3</t>
  </si>
  <si>
    <t xml:space="preserve">1 1/4 = 15/12. Jadi x = 15/12 - 5/12 = 10/12 = 5/6.</t>
  </si>
  <si>
    <t xml:space="preserve">P04-046</t>
  </si>
  <si>
    <t xml:space="preserve">Persamaan pengurangan pecahan</t>
  </si>
  <si>
    <t xml:space="preserve">Nilai x yang memenuhi 2 3/5 - x = 1 7/10 adalah ...</t>
  </si>
  <si>
    <t xml:space="preserve">9/10</t>
  </si>
  <si>
    <t xml:space="preserve">1 1/10</t>
  </si>
  <si>
    <t xml:space="preserve">2 3/5 = 26/10. Maka x = 26/10 - 17/10 = 9/10.</t>
  </si>
  <si>
    <t xml:space="preserve">Cadangan/Pengayaan</t>
  </si>
  <si>
    <t xml:space="preserve">P04-047</t>
  </si>
  <si>
    <t xml:space="preserve">Menentukan bagian sisa</t>
  </si>
  <si>
    <t xml:space="preserve">Sebuah kue terdiri atas 3/8 bagian cokelat dan 1/4 bagian keju. Sisanya rasa buah. Bagian rasa buah adalah ...</t>
  </si>
  <si>
    <t xml:space="preserve">3/8 + 1/4 = 5/8. Sisa = 8/8 - 5/8 = 3/8.</t>
  </si>
  <si>
    <t xml:space="preserve">P04-048</t>
  </si>
  <si>
    <t xml:space="preserve">Menentukan sisa setelah tiga bagian</t>
  </si>
  <si>
    <t xml:space="preserve">Di rak buku, 2/7 bagian adalah buku sains, 1/3 buku cerita, dan 1/6 ensiklopedia. Sisanya buku lain. Bagian buku lain adalah ...</t>
  </si>
  <si>
    <t xml:space="preserve">3/14</t>
  </si>
  <si>
    <t xml:space="preserve">11/14</t>
  </si>
  <si>
    <t xml:space="preserve">5/21</t>
  </si>
  <si>
    <t xml:space="preserve">2/7 + 1/3 + 1/6 = 12/42 + 14/42 + 7/42 = 33/42 = 11/14. Sisa = 3/14.</t>
  </si>
  <si>
    <t xml:space="preserve">P04-049</t>
  </si>
  <si>
    <t xml:space="preserve">Membandingkan hasil operasi</t>
  </si>
  <si>
    <t xml:space="preserve">Membandingkan hasil dua operasi</t>
  </si>
  <si>
    <t xml:space="preserve">A = 3/4 + 1/6 dan B = 5/6 - 1/8. Pernyataan yang benar adalah ...</t>
  </si>
  <si>
    <t xml:space="preserve">A lebih besar dari B sebesar 5/24</t>
  </si>
  <si>
    <t xml:space="preserve">B lebih besar dari A sebesar 5/24</t>
  </si>
  <si>
    <t xml:space="preserve">A = B</t>
  </si>
  <si>
    <t xml:space="preserve">A lebih besar dari B sebesar 1/24</t>
  </si>
  <si>
    <t xml:space="preserve">A = 11/12 = 22/24. B = 17/24. Selisihnya 5/24.</t>
  </si>
  <si>
    <t xml:space="preserve">P04-050</t>
  </si>
  <si>
    <t xml:space="preserve">Soal cerita multi-langkah kompleks</t>
  </si>
  <si>
    <t xml:space="preserve">Ibu memiliki 4 kg tepung. Digunakan 1 1/3 kg dan 3/4 kg, lalu membeli lagi 1/2 kg. Tepung sekarang adalah ...</t>
  </si>
  <si>
    <t xml:space="preserve">2 5/12 kg</t>
  </si>
  <si>
    <t xml:space="preserve">2 1/12 kg</t>
  </si>
  <si>
    <t xml:space="preserve">3 5/12 kg</t>
  </si>
  <si>
    <t xml:space="preserve">29/24 kg</t>
  </si>
  <si>
    <t xml:space="preserve">4 - 1 1/3 - 3/4 + 1/2 = 48/12 - 16/12 - 9/12 + 6/12 = 29/12 = 2 5/12 kg.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</si>
</sst>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13.62"/>
    <col collapsed="false" customWidth="true" hidden="false" outlineLevel="0" max="3" min="3" style="0" width="11.35"/>
    <col collapsed="false" customWidth="true" hidden="false" outlineLevel="0" max="4" min="4" style="0" width="30.65"/>
    <col collapsed="false" customWidth="true" hidden="false" outlineLevel="0" max="5" min="5" style="0" width="34.06"/>
    <col collapsed="false" customWidth="true" hidden="false" outlineLevel="0" max="6" min="6" style="0" width="12.49"/>
    <col collapsed="false" customWidth="true" hidden="false" outlineLevel="0" max="7" min="7" style="0" width="54.49"/>
    <col collapsed="false" customWidth="true" hidden="false" outlineLevel="0" max="11" min="8" style="0" width="20.43"/>
    <col collapsed="false" customWidth="true" hidden="false" outlineLevel="0" max="12" min="12" style="0" width="9.08"/>
    <col collapsed="false" customWidth="true" hidden="false" outlineLevel="0" max="13" min="13" style="0" width="13.62"/>
    <col collapsed="false" customWidth="true" hidden="false" outlineLevel="0" max="14" min="14" style="0" width="45.41"/>
    <col collapsed="false" customWidth="true" hidden="false" outlineLevel="0" max="15" min="15" style="0" width="14.76"/>
    <col collapsed="false" customWidth="true" hidden="false" outlineLevel="0" max="16" min="16" style="0" width="24.98"/>
    <col collapsed="false" customWidth="true" hidden="false" outlineLevel="0" max="18" min="17" style="0" width="38.6"/>
    <col collapsed="false" customWidth="true" hidden="false" outlineLevel="0" max="19" min="19" style="0" width="20.43"/>
    <col collapsed="false" customWidth="true" hidden="false" outlineLevel="0" max="23" min="20" style="0" width="18.16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31.3" hidden="false" customHeight="false" outlineLevel="0" collapsed="false">
      <c r="A2" s="2" t="n">
        <v>1</v>
      </c>
      <c r="B2" s="2" t="s">
        <v>23</v>
      </c>
      <c r="C2" s="2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n">
        <v>2</v>
      </c>
      <c r="N2" s="3" t="s">
        <v>34</v>
      </c>
      <c r="O2" s="3" t="n">
        <v>45</v>
      </c>
      <c r="P2" s="3" t="s">
        <v>35</v>
      </c>
      <c r="Q2" s="3" t="s">
        <v>36</v>
      </c>
      <c r="R2" s="3" t="s">
        <v>37</v>
      </c>
      <c r="S2" s="3" t="s">
        <v>38</v>
      </c>
      <c r="T2" s="2" t="str">
        <f aca="false">IF(COUNTA(G2:K2)=5,"OK","Periksa")</f>
        <v>OK</v>
      </c>
      <c r="U2" s="2" t="str">
        <f aca="false">IF(AND(M2&gt;=1,M2&lt;=4),"OK","Periksa")</f>
        <v>OK</v>
      </c>
      <c r="V2" s="2" t="str">
        <f aca="false">IF(OR(H2=I2,H2=J2,H2=K2,I2=J2,I2=K2,J2=K2),"Periksa","OK")</f>
        <v>OK</v>
      </c>
      <c r="W2" s="2" t="str">
        <f aca="false">IF(COUNTIF(T2:V2,"Periksa")=0,"Siap","Periksa")</f>
        <v>Siap</v>
      </c>
    </row>
    <row r="3" customFormat="false" ht="31.3" hidden="false" customHeight="false" outlineLevel="0" collapsed="false">
      <c r="A3" s="2" t="n">
        <v>2</v>
      </c>
      <c r="B3" s="2" t="s">
        <v>39</v>
      </c>
      <c r="C3" s="2" t="s">
        <v>24</v>
      </c>
      <c r="D3" s="3" t="s">
        <v>40</v>
      </c>
      <c r="E3" s="3" t="s">
        <v>41</v>
      </c>
      <c r="F3" s="3" t="s">
        <v>27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n">
        <v>1</v>
      </c>
      <c r="N3" s="3" t="s">
        <v>48</v>
      </c>
      <c r="O3" s="3" t="n">
        <v>45</v>
      </c>
      <c r="P3" s="3" t="s">
        <v>35</v>
      </c>
      <c r="Q3" s="3" t="s">
        <v>36</v>
      </c>
      <c r="R3" s="3" t="s">
        <v>37</v>
      </c>
      <c r="S3" s="3" t="s">
        <v>38</v>
      </c>
      <c r="T3" s="2" t="str">
        <f aca="false">IF(COUNTA(G3:K3)=5,"OK","Periksa")</f>
        <v>OK</v>
      </c>
      <c r="U3" s="2" t="str">
        <f aca="false">IF(AND(M3&gt;=1,M3&lt;=4),"OK","Periksa")</f>
        <v>OK</v>
      </c>
      <c r="V3" s="2" t="str">
        <f aca="false">IF(OR(H3=I3,H3=J3,H3=K3,I3=J3,I3=K3,J3=K3),"Periksa","OK")</f>
        <v>OK</v>
      </c>
      <c r="W3" s="2" t="str">
        <f aca="false">IF(COUNTIF(T3:V3,"Periksa")=0,"Siap","Periksa")</f>
        <v>Siap</v>
      </c>
    </row>
    <row r="4" customFormat="false" ht="31.3" hidden="false" customHeight="false" outlineLevel="0" collapsed="false">
      <c r="A4" s="2" t="n">
        <v>3</v>
      </c>
      <c r="B4" s="2" t="s">
        <v>49</v>
      </c>
      <c r="C4" s="2" t="s">
        <v>24</v>
      </c>
      <c r="D4" s="3" t="s">
        <v>25</v>
      </c>
      <c r="E4" s="3" t="s">
        <v>26</v>
      </c>
      <c r="F4" s="3" t="s">
        <v>27</v>
      </c>
      <c r="G4" s="3" t="s">
        <v>50</v>
      </c>
      <c r="H4" s="3" t="s">
        <v>51</v>
      </c>
      <c r="I4" s="3" t="s">
        <v>52</v>
      </c>
      <c r="J4" s="3" t="s">
        <v>43</v>
      </c>
      <c r="K4" s="3" t="s">
        <v>53</v>
      </c>
      <c r="L4" s="3" t="s">
        <v>33</v>
      </c>
      <c r="M4" s="3" t="n">
        <v>2</v>
      </c>
      <c r="N4" s="3" t="s">
        <v>54</v>
      </c>
      <c r="O4" s="3" t="n">
        <v>45</v>
      </c>
      <c r="P4" s="3" t="s">
        <v>35</v>
      </c>
      <c r="Q4" s="3" t="s">
        <v>36</v>
      </c>
      <c r="R4" s="3" t="s">
        <v>37</v>
      </c>
      <c r="S4" s="3" t="s">
        <v>38</v>
      </c>
      <c r="T4" s="2" t="str">
        <f aca="false">IF(COUNTA(G4:K4)=5,"OK","Periksa")</f>
        <v>OK</v>
      </c>
      <c r="U4" s="2" t="str">
        <f aca="false">IF(AND(M4&gt;=1,M4&lt;=4),"OK","Periksa")</f>
        <v>OK</v>
      </c>
      <c r="V4" s="2" t="str">
        <f aca="false">IF(OR(H4=I4,H4=J4,H4=K4,I4=J4,I4=K4,J4=K4),"Periksa","OK")</f>
        <v>OK</v>
      </c>
      <c r="W4" s="2" t="str">
        <f aca="false">IF(COUNTIF(T4:V4,"Periksa")=0,"Siap","Periksa")</f>
        <v>Siap</v>
      </c>
    </row>
    <row r="5" customFormat="false" ht="31.3" hidden="false" customHeight="false" outlineLevel="0" collapsed="false">
      <c r="A5" s="2" t="n">
        <v>4</v>
      </c>
      <c r="B5" s="2" t="s">
        <v>55</v>
      </c>
      <c r="C5" s="2" t="s">
        <v>24</v>
      </c>
      <c r="D5" s="3" t="s">
        <v>40</v>
      </c>
      <c r="E5" s="3" t="s">
        <v>41</v>
      </c>
      <c r="F5" s="3" t="s">
        <v>27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47</v>
      </c>
      <c r="M5" s="3" t="n">
        <v>1</v>
      </c>
      <c r="N5" s="3" t="s">
        <v>61</v>
      </c>
      <c r="O5" s="3" t="n">
        <v>45</v>
      </c>
      <c r="P5" s="3" t="s">
        <v>35</v>
      </c>
      <c r="Q5" s="3" t="s">
        <v>36</v>
      </c>
      <c r="R5" s="3" t="s">
        <v>37</v>
      </c>
      <c r="S5" s="3" t="s">
        <v>38</v>
      </c>
      <c r="T5" s="2" t="str">
        <f aca="false">IF(COUNTA(G5:K5)=5,"OK","Periksa")</f>
        <v>OK</v>
      </c>
      <c r="U5" s="2" t="str">
        <f aca="false">IF(AND(M5&gt;=1,M5&lt;=4),"OK","Periksa")</f>
        <v>OK</v>
      </c>
      <c r="V5" s="2" t="str">
        <f aca="false">IF(OR(H5=I5,H5=J5,H5=K5,I5=J5,I5=K5,J5=K5),"Periksa","OK")</f>
        <v>OK</v>
      </c>
      <c r="W5" s="2" t="str">
        <f aca="false">IF(COUNTIF(T5:V5,"Periksa")=0,"Siap","Periksa")</f>
        <v>Siap</v>
      </c>
    </row>
    <row r="6" customFormat="false" ht="31.3" hidden="false" customHeight="false" outlineLevel="0" collapsed="false">
      <c r="A6" s="2" t="n">
        <v>5</v>
      </c>
      <c r="B6" s="2" t="s">
        <v>62</v>
      </c>
      <c r="C6" s="2" t="s">
        <v>24</v>
      </c>
      <c r="D6" s="3" t="s">
        <v>63</v>
      </c>
      <c r="E6" s="3" t="s">
        <v>64</v>
      </c>
      <c r="F6" s="3" t="s">
        <v>27</v>
      </c>
      <c r="G6" s="3" t="s">
        <v>65</v>
      </c>
      <c r="H6" s="3" t="s">
        <v>66</v>
      </c>
      <c r="I6" s="3" t="s">
        <v>67</v>
      </c>
      <c r="J6" s="3" t="s">
        <v>68</v>
      </c>
      <c r="K6" s="3" t="s">
        <v>69</v>
      </c>
      <c r="L6" s="3" t="s">
        <v>33</v>
      </c>
      <c r="M6" s="3" t="n">
        <v>2</v>
      </c>
      <c r="N6" s="3" t="s">
        <v>70</v>
      </c>
      <c r="O6" s="3" t="n">
        <v>45</v>
      </c>
      <c r="P6" s="3" t="s">
        <v>35</v>
      </c>
      <c r="Q6" s="3" t="s">
        <v>36</v>
      </c>
      <c r="R6" s="3" t="s">
        <v>37</v>
      </c>
      <c r="S6" s="3" t="s">
        <v>38</v>
      </c>
      <c r="T6" s="2" t="str">
        <f aca="false">IF(COUNTA(G6:K6)=5,"OK","Periksa")</f>
        <v>OK</v>
      </c>
      <c r="U6" s="2" t="str">
        <f aca="false">IF(AND(M6&gt;=1,M6&lt;=4),"OK","Periksa")</f>
        <v>OK</v>
      </c>
      <c r="V6" s="2" t="str">
        <f aca="false">IF(OR(H6=I6,H6=J6,H6=K6,I6=J6,I6=K6,J6=K6),"Periksa","OK")</f>
        <v>OK</v>
      </c>
      <c r="W6" s="2" t="str">
        <f aca="false">IF(COUNTIF(T6:V6,"Periksa")=0,"Siap","Periksa")</f>
        <v>Siap</v>
      </c>
    </row>
    <row r="7" customFormat="false" ht="31.3" hidden="false" customHeight="false" outlineLevel="0" collapsed="false">
      <c r="A7" s="2" t="n">
        <v>6</v>
      </c>
      <c r="B7" s="2" t="s">
        <v>71</v>
      </c>
      <c r="C7" s="2" t="s">
        <v>24</v>
      </c>
      <c r="D7" s="3" t="s">
        <v>72</v>
      </c>
      <c r="E7" s="3" t="s">
        <v>73</v>
      </c>
      <c r="F7" s="3" t="s">
        <v>27</v>
      </c>
      <c r="G7" s="3" t="s">
        <v>74</v>
      </c>
      <c r="H7" s="3" t="s">
        <v>43</v>
      </c>
      <c r="I7" s="3" t="s">
        <v>52</v>
      </c>
      <c r="J7" s="3" t="s">
        <v>75</v>
      </c>
      <c r="K7" s="3" t="s">
        <v>76</v>
      </c>
      <c r="L7" s="3" t="s">
        <v>33</v>
      </c>
      <c r="M7" s="3" t="n">
        <v>2</v>
      </c>
      <c r="N7" s="3" t="s">
        <v>77</v>
      </c>
      <c r="O7" s="3" t="n">
        <v>45</v>
      </c>
      <c r="P7" s="3" t="s">
        <v>35</v>
      </c>
      <c r="Q7" s="3" t="s">
        <v>36</v>
      </c>
      <c r="R7" s="3" t="s">
        <v>37</v>
      </c>
      <c r="S7" s="3" t="s">
        <v>38</v>
      </c>
      <c r="T7" s="2" t="str">
        <f aca="false">IF(COUNTA(G7:K7)=5,"OK","Periksa")</f>
        <v>OK</v>
      </c>
      <c r="U7" s="2" t="str">
        <f aca="false">IF(AND(M7&gt;=1,M7&lt;=4),"OK","Periksa")</f>
        <v>OK</v>
      </c>
      <c r="V7" s="2" t="str">
        <f aca="false">IF(OR(H7=I7,H7=J7,H7=K7,I7=J7,I7=K7,J7=K7),"Periksa","OK")</f>
        <v>OK</v>
      </c>
      <c r="W7" s="2" t="str">
        <f aca="false">IF(COUNTIF(T7:V7,"Periksa")=0,"Siap","Periksa")</f>
        <v>Siap</v>
      </c>
    </row>
    <row r="8" customFormat="false" ht="31.3" hidden="false" customHeight="false" outlineLevel="0" collapsed="false">
      <c r="A8" s="2" t="n">
        <v>7</v>
      </c>
      <c r="B8" s="2" t="s">
        <v>78</v>
      </c>
      <c r="C8" s="2" t="s">
        <v>24</v>
      </c>
      <c r="D8" s="3" t="s">
        <v>25</v>
      </c>
      <c r="E8" s="3" t="s">
        <v>79</v>
      </c>
      <c r="F8" s="3" t="s">
        <v>27</v>
      </c>
      <c r="G8" s="3" t="s">
        <v>80</v>
      </c>
      <c r="H8" s="3" t="s">
        <v>32</v>
      </c>
      <c r="I8" s="3" t="s">
        <v>81</v>
      </c>
      <c r="J8" s="3" t="s">
        <v>67</v>
      </c>
      <c r="K8" s="3" t="s">
        <v>82</v>
      </c>
      <c r="L8" s="3" t="s">
        <v>33</v>
      </c>
      <c r="M8" s="3" t="n">
        <v>2</v>
      </c>
      <c r="N8" s="3" t="s">
        <v>83</v>
      </c>
      <c r="O8" s="3" t="n">
        <v>45</v>
      </c>
      <c r="P8" s="3" t="s">
        <v>35</v>
      </c>
      <c r="Q8" s="3" t="s">
        <v>36</v>
      </c>
      <c r="R8" s="3" t="s">
        <v>37</v>
      </c>
      <c r="S8" s="3" t="s">
        <v>38</v>
      </c>
      <c r="T8" s="2" t="str">
        <f aca="false">IF(COUNTA(G8:K8)=5,"OK","Periksa")</f>
        <v>OK</v>
      </c>
      <c r="U8" s="2" t="str">
        <f aca="false">IF(AND(M8&gt;=1,M8&lt;=4),"OK","Periksa")</f>
        <v>OK</v>
      </c>
      <c r="V8" s="2" t="str">
        <f aca="false">IF(OR(H8=I8,H8=J8,H8=K8,I8=J8,I8=K8,J8=K8),"Periksa","OK")</f>
        <v>OK</v>
      </c>
      <c r="W8" s="2" t="str">
        <f aca="false">IF(COUNTIF(T8:V8,"Periksa")=0,"Siap","Periksa")</f>
        <v>Siap</v>
      </c>
    </row>
    <row r="9" customFormat="false" ht="31.3" hidden="false" customHeight="false" outlineLevel="0" collapsed="false">
      <c r="A9" s="2" t="n">
        <v>8</v>
      </c>
      <c r="B9" s="2" t="s">
        <v>84</v>
      </c>
      <c r="C9" s="2" t="s">
        <v>24</v>
      </c>
      <c r="D9" s="3" t="s">
        <v>72</v>
      </c>
      <c r="E9" s="3" t="s">
        <v>73</v>
      </c>
      <c r="F9" s="3" t="s">
        <v>27</v>
      </c>
      <c r="G9" s="3" t="s">
        <v>85</v>
      </c>
      <c r="H9" s="3" t="s">
        <v>86</v>
      </c>
      <c r="I9" s="3" t="s">
        <v>67</v>
      </c>
      <c r="J9" s="3" t="s">
        <v>87</v>
      </c>
      <c r="K9" s="3" t="s">
        <v>68</v>
      </c>
      <c r="L9" s="3" t="s">
        <v>33</v>
      </c>
      <c r="M9" s="3" t="n">
        <v>2</v>
      </c>
      <c r="N9" s="3" t="s">
        <v>88</v>
      </c>
      <c r="O9" s="3" t="n">
        <v>45</v>
      </c>
      <c r="P9" s="3" t="s">
        <v>35</v>
      </c>
      <c r="Q9" s="3" t="s">
        <v>36</v>
      </c>
      <c r="R9" s="3" t="s">
        <v>37</v>
      </c>
      <c r="S9" s="3" t="s">
        <v>38</v>
      </c>
      <c r="T9" s="2" t="str">
        <f aca="false">IF(COUNTA(G9:K9)=5,"OK","Periksa")</f>
        <v>OK</v>
      </c>
      <c r="U9" s="2" t="str">
        <f aca="false">IF(AND(M9&gt;=1,M9&lt;=4),"OK","Periksa")</f>
        <v>OK</v>
      </c>
      <c r="V9" s="2" t="str">
        <f aca="false">IF(OR(H9=I9,H9=J9,H9=K9,I9=J9,I9=K9,J9=K9),"Periksa","OK")</f>
        <v>OK</v>
      </c>
      <c r="W9" s="2" t="str">
        <f aca="false">IF(COUNTIF(T9:V9,"Periksa")=0,"Siap","Periksa")</f>
        <v>Siap</v>
      </c>
    </row>
    <row r="10" customFormat="false" ht="31.3" hidden="false" customHeight="false" outlineLevel="0" collapsed="false">
      <c r="A10" s="2" t="n">
        <v>9</v>
      </c>
      <c r="B10" s="2" t="s">
        <v>89</v>
      </c>
      <c r="C10" s="2" t="s">
        <v>24</v>
      </c>
      <c r="D10" s="3" t="s">
        <v>90</v>
      </c>
      <c r="E10" s="3" t="s">
        <v>91</v>
      </c>
      <c r="F10" s="3" t="s">
        <v>27</v>
      </c>
      <c r="G10" s="3" t="s">
        <v>92</v>
      </c>
      <c r="H10" s="3" t="s">
        <v>67</v>
      </c>
      <c r="I10" s="3" t="s">
        <v>93</v>
      </c>
      <c r="J10" s="3" t="s">
        <v>94</v>
      </c>
      <c r="K10" s="3" t="s">
        <v>68</v>
      </c>
      <c r="L10" s="3" t="s">
        <v>33</v>
      </c>
      <c r="M10" s="3" t="n">
        <v>2</v>
      </c>
      <c r="N10" s="3" t="s">
        <v>95</v>
      </c>
      <c r="O10" s="3" t="n">
        <v>45</v>
      </c>
      <c r="P10" s="3" t="s">
        <v>35</v>
      </c>
      <c r="Q10" s="3" t="s">
        <v>36</v>
      </c>
      <c r="R10" s="3" t="s">
        <v>37</v>
      </c>
      <c r="S10" s="3" t="s">
        <v>38</v>
      </c>
      <c r="T10" s="2" t="str">
        <f aca="false">IF(COUNTA(G10:K10)=5,"OK","Periksa")</f>
        <v>OK</v>
      </c>
      <c r="U10" s="2" t="str">
        <f aca="false">IF(AND(M10&gt;=1,M10&lt;=4),"OK","Periksa")</f>
        <v>OK</v>
      </c>
      <c r="V10" s="2" t="str">
        <f aca="false">IF(OR(H10=I10,H10=J10,H10=K10,I10=J10,I10=K10,J10=K10),"Periksa","OK")</f>
        <v>OK</v>
      </c>
      <c r="W10" s="2" t="str">
        <f aca="false">IF(COUNTIF(T10:V10,"Periksa")=0,"Siap","Periksa")</f>
        <v>Siap</v>
      </c>
    </row>
    <row r="11" customFormat="false" ht="31.3" hidden="false" customHeight="false" outlineLevel="0" collapsed="false">
      <c r="A11" s="2" t="n">
        <v>10</v>
      </c>
      <c r="B11" s="2" t="s">
        <v>96</v>
      </c>
      <c r="C11" s="2" t="s">
        <v>24</v>
      </c>
      <c r="D11" s="3" t="s">
        <v>63</v>
      </c>
      <c r="E11" s="3" t="s">
        <v>97</v>
      </c>
      <c r="F11" s="3" t="s">
        <v>27</v>
      </c>
      <c r="G11" s="3" t="s">
        <v>98</v>
      </c>
      <c r="H11" s="3" t="s">
        <v>99</v>
      </c>
      <c r="I11" s="3" t="s">
        <v>93</v>
      </c>
      <c r="J11" s="3" t="s">
        <v>100</v>
      </c>
      <c r="K11" s="3" t="s">
        <v>69</v>
      </c>
      <c r="L11" s="3" t="s">
        <v>101</v>
      </c>
      <c r="M11" s="3" t="n">
        <v>3</v>
      </c>
      <c r="N11" s="3" t="s">
        <v>102</v>
      </c>
      <c r="O11" s="3" t="n">
        <v>45</v>
      </c>
      <c r="P11" s="3" t="s">
        <v>35</v>
      </c>
      <c r="Q11" s="3" t="s">
        <v>36</v>
      </c>
      <c r="R11" s="3" t="s">
        <v>37</v>
      </c>
      <c r="S11" s="3" t="s">
        <v>38</v>
      </c>
      <c r="T11" s="2" t="str">
        <f aca="false">IF(COUNTA(G11:K11)=5,"OK","Periksa")</f>
        <v>OK</v>
      </c>
      <c r="U11" s="2" t="str">
        <f aca="false">IF(AND(M11&gt;=1,M11&lt;=4),"OK","Periksa")</f>
        <v>OK</v>
      </c>
      <c r="V11" s="2" t="str">
        <f aca="false">IF(OR(H11=I11,H11=J11,H11=K11,I11=J11,I11=K11,J11=K11),"Periksa","OK")</f>
        <v>OK</v>
      </c>
      <c r="W11" s="2" t="str">
        <f aca="false">IF(COUNTIF(T11:V11,"Periksa")=0,"Siap","Periksa")</f>
        <v>Siap</v>
      </c>
    </row>
    <row r="12" customFormat="false" ht="31.3" hidden="false" customHeight="false" outlineLevel="0" collapsed="false">
      <c r="A12" s="2" t="n">
        <v>11</v>
      </c>
      <c r="B12" s="2" t="s">
        <v>103</v>
      </c>
      <c r="C12" s="2" t="s">
        <v>24</v>
      </c>
      <c r="D12" s="3" t="s">
        <v>72</v>
      </c>
      <c r="E12" s="3" t="s">
        <v>104</v>
      </c>
      <c r="F12" s="3" t="s">
        <v>27</v>
      </c>
      <c r="G12" s="3" t="s">
        <v>105</v>
      </c>
      <c r="H12" s="3" t="s">
        <v>29</v>
      </c>
      <c r="I12" s="3" t="s">
        <v>106</v>
      </c>
      <c r="J12" s="3" t="s">
        <v>30</v>
      </c>
      <c r="K12" s="3" t="s">
        <v>107</v>
      </c>
      <c r="L12" s="3" t="s">
        <v>101</v>
      </c>
      <c r="M12" s="3" t="n">
        <v>3</v>
      </c>
      <c r="N12" s="3" t="s">
        <v>108</v>
      </c>
      <c r="O12" s="3" t="n">
        <v>45</v>
      </c>
      <c r="P12" s="3" t="s">
        <v>35</v>
      </c>
      <c r="Q12" s="3" t="s">
        <v>36</v>
      </c>
      <c r="R12" s="3" t="s">
        <v>37</v>
      </c>
      <c r="S12" s="3" t="s">
        <v>38</v>
      </c>
      <c r="T12" s="2" t="str">
        <f aca="false">IF(COUNTA(G12:K12)=5,"OK","Periksa")</f>
        <v>OK</v>
      </c>
      <c r="U12" s="2" t="str">
        <f aca="false">IF(AND(M12&gt;=1,M12&lt;=4),"OK","Periksa")</f>
        <v>OK</v>
      </c>
      <c r="V12" s="2" t="str">
        <f aca="false">IF(OR(H12=I12,H12=J12,H12=K12,I12=J12,I12=K12,J12=K12),"Periksa","OK")</f>
        <v>OK</v>
      </c>
      <c r="W12" s="2" t="str">
        <f aca="false">IF(COUNTIF(T12:V12,"Periksa")=0,"Siap","Periksa")</f>
        <v>Siap</v>
      </c>
    </row>
    <row r="13" customFormat="false" ht="31.3" hidden="false" customHeight="false" outlineLevel="0" collapsed="false">
      <c r="A13" s="2" t="n">
        <v>12</v>
      </c>
      <c r="B13" s="2" t="s">
        <v>109</v>
      </c>
      <c r="C13" s="2" t="s">
        <v>24</v>
      </c>
      <c r="D13" s="3" t="s">
        <v>25</v>
      </c>
      <c r="E13" s="3" t="s">
        <v>26</v>
      </c>
      <c r="F13" s="3" t="s">
        <v>27</v>
      </c>
      <c r="G13" s="3" t="s">
        <v>110</v>
      </c>
      <c r="H13" s="3" t="s">
        <v>111</v>
      </c>
      <c r="I13" s="3" t="s">
        <v>112</v>
      </c>
      <c r="J13" s="3" t="s">
        <v>113</v>
      </c>
      <c r="K13" s="3" t="s">
        <v>100</v>
      </c>
      <c r="L13" s="3" t="s">
        <v>47</v>
      </c>
      <c r="M13" s="3" t="n">
        <v>1</v>
      </c>
      <c r="N13" s="3" t="s">
        <v>114</v>
      </c>
      <c r="O13" s="3" t="n">
        <v>45</v>
      </c>
      <c r="P13" s="3" t="s">
        <v>35</v>
      </c>
      <c r="Q13" s="3" t="s">
        <v>36</v>
      </c>
      <c r="R13" s="3" t="s">
        <v>37</v>
      </c>
      <c r="S13" s="3" t="s">
        <v>38</v>
      </c>
      <c r="T13" s="2" t="str">
        <f aca="false">IF(COUNTA(G13:K13)=5,"OK","Periksa")</f>
        <v>OK</v>
      </c>
      <c r="U13" s="2" t="str">
        <f aca="false">IF(AND(M13&gt;=1,M13&lt;=4),"OK","Periksa")</f>
        <v>OK</v>
      </c>
      <c r="V13" s="2" t="str">
        <f aca="false">IF(OR(H13=I13,H13=J13,H13=K13,I13=J13,I13=K13,J13=K13),"Periksa","OK")</f>
        <v>OK</v>
      </c>
      <c r="W13" s="2" t="str">
        <f aca="false">IF(COUNTIF(T13:V13,"Periksa")=0,"Siap","Periksa")</f>
        <v>Siap</v>
      </c>
    </row>
    <row r="14" customFormat="false" ht="31.3" hidden="false" customHeight="false" outlineLevel="0" collapsed="false">
      <c r="A14" s="2" t="n">
        <v>13</v>
      </c>
      <c r="B14" s="2" t="s">
        <v>115</v>
      </c>
      <c r="C14" s="2" t="s">
        <v>24</v>
      </c>
      <c r="D14" s="3" t="s">
        <v>72</v>
      </c>
      <c r="E14" s="3" t="s">
        <v>73</v>
      </c>
      <c r="F14" s="3" t="s">
        <v>27</v>
      </c>
      <c r="G14" s="3" t="s">
        <v>116</v>
      </c>
      <c r="H14" s="3" t="s">
        <v>117</v>
      </c>
      <c r="I14" s="3" t="s">
        <v>81</v>
      </c>
      <c r="J14" s="3" t="s">
        <v>118</v>
      </c>
      <c r="K14" s="3" t="s">
        <v>69</v>
      </c>
      <c r="L14" s="3" t="s">
        <v>33</v>
      </c>
      <c r="M14" s="3" t="n">
        <v>2</v>
      </c>
      <c r="N14" s="3" t="s">
        <v>119</v>
      </c>
      <c r="O14" s="3" t="n">
        <v>45</v>
      </c>
      <c r="P14" s="3" t="s">
        <v>35</v>
      </c>
      <c r="Q14" s="3" t="s">
        <v>36</v>
      </c>
      <c r="R14" s="3" t="s">
        <v>37</v>
      </c>
      <c r="S14" s="3" t="s">
        <v>38</v>
      </c>
      <c r="T14" s="2" t="str">
        <f aca="false">IF(COUNTA(G14:K14)=5,"OK","Periksa")</f>
        <v>OK</v>
      </c>
      <c r="U14" s="2" t="str">
        <f aca="false">IF(AND(M14&gt;=1,M14&lt;=4),"OK","Periksa")</f>
        <v>OK</v>
      </c>
      <c r="V14" s="2" t="str">
        <f aca="false">IF(OR(H14=I14,H14=J14,H14=K14,I14=J14,I14=K14,J14=K14),"Periksa","OK")</f>
        <v>OK</v>
      </c>
      <c r="W14" s="2" t="str">
        <f aca="false">IF(COUNTIF(T14:V14,"Periksa")=0,"Siap","Periksa")</f>
        <v>Siap</v>
      </c>
    </row>
    <row r="15" customFormat="false" ht="31.3" hidden="false" customHeight="false" outlineLevel="0" collapsed="false">
      <c r="A15" s="2" t="n">
        <v>14</v>
      </c>
      <c r="B15" s="2" t="s">
        <v>120</v>
      </c>
      <c r="C15" s="2" t="s">
        <v>24</v>
      </c>
      <c r="D15" s="3" t="s">
        <v>121</v>
      </c>
      <c r="E15" s="3" t="s">
        <v>122</v>
      </c>
      <c r="F15" s="3" t="s">
        <v>27</v>
      </c>
      <c r="G15" s="3" t="s">
        <v>123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47</v>
      </c>
      <c r="M15" s="3" t="n">
        <v>1</v>
      </c>
      <c r="N15" s="3" t="s">
        <v>128</v>
      </c>
      <c r="O15" s="3" t="n">
        <v>45</v>
      </c>
      <c r="P15" s="3" t="s">
        <v>35</v>
      </c>
      <c r="Q15" s="3" t="s">
        <v>36</v>
      </c>
      <c r="R15" s="3" t="s">
        <v>37</v>
      </c>
      <c r="S15" s="3" t="s">
        <v>38</v>
      </c>
      <c r="T15" s="2" t="str">
        <f aca="false">IF(COUNTA(G15:K15)=5,"OK","Periksa")</f>
        <v>OK</v>
      </c>
      <c r="U15" s="2" t="str">
        <f aca="false">IF(AND(M15&gt;=1,M15&lt;=4),"OK","Periksa")</f>
        <v>OK</v>
      </c>
      <c r="V15" s="2" t="str">
        <f aca="false">IF(OR(H15=I15,H15=J15,H15=K15,I15=J15,I15=K15,J15=K15),"Periksa","OK")</f>
        <v>OK</v>
      </c>
      <c r="W15" s="2" t="str">
        <f aca="false">IF(COUNTIF(T15:V15,"Periksa")=0,"Siap","Periksa")</f>
        <v>Siap</v>
      </c>
    </row>
    <row r="16" customFormat="false" ht="31.3" hidden="false" customHeight="false" outlineLevel="0" collapsed="false">
      <c r="A16" s="2" t="n">
        <v>15</v>
      </c>
      <c r="B16" s="2" t="s">
        <v>129</v>
      </c>
      <c r="C16" s="2" t="s">
        <v>24</v>
      </c>
      <c r="D16" s="3" t="s">
        <v>130</v>
      </c>
      <c r="E16" s="3" t="s">
        <v>131</v>
      </c>
      <c r="F16" s="3" t="s">
        <v>27</v>
      </c>
      <c r="G16" s="3" t="s">
        <v>132</v>
      </c>
      <c r="H16" s="3" t="s">
        <v>29</v>
      </c>
      <c r="I16" s="3" t="s">
        <v>81</v>
      </c>
      <c r="J16" s="3" t="s">
        <v>30</v>
      </c>
      <c r="K16" s="3" t="s">
        <v>133</v>
      </c>
      <c r="L16" s="3" t="s">
        <v>33</v>
      </c>
      <c r="M16" s="3" t="n">
        <v>2</v>
      </c>
      <c r="N16" s="3" t="s">
        <v>134</v>
      </c>
      <c r="O16" s="3" t="n">
        <v>45</v>
      </c>
      <c r="P16" s="3" t="s">
        <v>35</v>
      </c>
      <c r="Q16" s="3" t="s">
        <v>36</v>
      </c>
      <c r="R16" s="3" t="s">
        <v>37</v>
      </c>
      <c r="S16" s="3" t="s">
        <v>38</v>
      </c>
      <c r="T16" s="2" t="str">
        <f aca="false">IF(COUNTA(G16:K16)=5,"OK","Periksa")</f>
        <v>OK</v>
      </c>
      <c r="U16" s="2" t="str">
        <f aca="false">IF(AND(M16&gt;=1,M16&lt;=4),"OK","Periksa")</f>
        <v>OK</v>
      </c>
      <c r="V16" s="2" t="str">
        <f aca="false">IF(OR(H16=I16,H16=J16,H16=K16,I16=J16,I16=K16,J16=K16),"Periksa","OK")</f>
        <v>OK</v>
      </c>
      <c r="W16" s="2" t="str">
        <f aca="false">IF(COUNTIF(T16:V16,"Periksa")=0,"Siap","Periksa")</f>
        <v>Siap</v>
      </c>
    </row>
    <row r="17" customFormat="false" ht="31.3" hidden="false" customHeight="false" outlineLevel="0" collapsed="false">
      <c r="A17" s="2" t="n">
        <v>16</v>
      </c>
      <c r="B17" s="2" t="s">
        <v>135</v>
      </c>
      <c r="C17" s="2" t="s">
        <v>24</v>
      </c>
      <c r="D17" s="3" t="s">
        <v>136</v>
      </c>
      <c r="E17" s="3" t="s">
        <v>137</v>
      </c>
      <c r="F17" s="3" t="s">
        <v>27</v>
      </c>
      <c r="G17" s="3" t="s">
        <v>138</v>
      </c>
      <c r="H17" s="3" t="s">
        <v>139</v>
      </c>
      <c r="I17" s="3" t="s">
        <v>140</v>
      </c>
      <c r="J17" s="3" t="s">
        <v>53</v>
      </c>
      <c r="K17" s="3" t="s">
        <v>141</v>
      </c>
      <c r="L17" s="3" t="s">
        <v>47</v>
      </c>
      <c r="M17" s="3" t="n">
        <v>1</v>
      </c>
      <c r="N17" s="3" t="s">
        <v>142</v>
      </c>
      <c r="O17" s="3" t="n">
        <v>45</v>
      </c>
      <c r="P17" s="3" t="s">
        <v>143</v>
      </c>
      <c r="Q17" s="3" t="s">
        <v>36</v>
      </c>
      <c r="R17" s="3" t="s">
        <v>37</v>
      </c>
      <c r="S17" s="3" t="s">
        <v>38</v>
      </c>
      <c r="T17" s="2" t="str">
        <f aca="false">IF(COUNTA(G17:K17)=5,"OK","Periksa")</f>
        <v>OK</v>
      </c>
      <c r="U17" s="2" t="str">
        <f aca="false">IF(AND(M17&gt;=1,M17&lt;=4),"OK","Periksa")</f>
        <v>OK</v>
      </c>
      <c r="V17" s="2" t="str">
        <f aca="false">IF(OR(H17=I17,H17=J17,H17=K17,I17=J17,I17=K17,J17=K17),"Periksa","OK")</f>
        <v>OK</v>
      </c>
      <c r="W17" s="2" t="str">
        <f aca="false">IF(COUNTIF(T17:V17,"Periksa")=0,"Siap","Periksa")</f>
        <v>Siap</v>
      </c>
    </row>
    <row r="18" customFormat="false" ht="31.3" hidden="false" customHeight="false" outlineLevel="0" collapsed="false">
      <c r="A18" s="2" t="n">
        <v>17</v>
      </c>
      <c r="B18" s="2" t="s">
        <v>144</v>
      </c>
      <c r="C18" s="2" t="s">
        <v>24</v>
      </c>
      <c r="D18" s="3" t="s">
        <v>25</v>
      </c>
      <c r="E18" s="3" t="s">
        <v>26</v>
      </c>
      <c r="F18" s="3" t="s">
        <v>27</v>
      </c>
      <c r="G18" s="3" t="s">
        <v>145</v>
      </c>
      <c r="H18" s="3" t="s">
        <v>146</v>
      </c>
      <c r="I18" s="3" t="s">
        <v>68</v>
      </c>
      <c r="J18" s="3" t="s">
        <v>87</v>
      </c>
      <c r="K18" s="3" t="s">
        <v>100</v>
      </c>
      <c r="L18" s="3" t="s">
        <v>47</v>
      </c>
      <c r="M18" s="3" t="n">
        <v>1</v>
      </c>
      <c r="N18" s="3" t="s">
        <v>147</v>
      </c>
      <c r="O18" s="3" t="n">
        <v>45</v>
      </c>
      <c r="P18" s="3" t="s">
        <v>143</v>
      </c>
      <c r="Q18" s="3" t="s">
        <v>36</v>
      </c>
      <c r="R18" s="3" t="s">
        <v>37</v>
      </c>
      <c r="S18" s="3" t="s">
        <v>38</v>
      </c>
      <c r="T18" s="2" t="str">
        <f aca="false">IF(COUNTA(G18:K18)=5,"OK","Periksa")</f>
        <v>OK</v>
      </c>
      <c r="U18" s="2" t="str">
        <f aca="false">IF(AND(M18&gt;=1,M18&lt;=4),"OK","Periksa")</f>
        <v>OK</v>
      </c>
      <c r="V18" s="2" t="str">
        <f aca="false">IF(OR(H18=I18,H18=J18,H18=K18,I18=J18,I18=K18,J18=K18),"Periksa","OK")</f>
        <v>OK</v>
      </c>
      <c r="W18" s="2" t="str">
        <f aca="false">IF(COUNTIF(T18:V18,"Periksa")=0,"Siap","Periksa")</f>
        <v>Siap</v>
      </c>
    </row>
    <row r="19" customFormat="false" ht="31.3" hidden="false" customHeight="false" outlineLevel="0" collapsed="false">
      <c r="A19" s="2" t="n">
        <v>18</v>
      </c>
      <c r="B19" s="2" t="s">
        <v>148</v>
      </c>
      <c r="C19" s="2" t="s">
        <v>149</v>
      </c>
      <c r="D19" s="3" t="s">
        <v>63</v>
      </c>
      <c r="E19" s="3" t="s">
        <v>150</v>
      </c>
      <c r="F19" s="3" t="s">
        <v>151</v>
      </c>
      <c r="G19" s="3" t="s">
        <v>152</v>
      </c>
      <c r="H19" s="3" t="s">
        <v>99</v>
      </c>
      <c r="I19" s="3" t="s">
        <v>153</v>
      </c>
      <c r="J19" s="3" t="s">
        <v>87</v>
      </c>
      <c r="K19" s="3" t="s">
        <v>100</v>
      </c>
      <c r="L19" s="3" t="s">
        <v>33</v>
      </c>
      <c r="M19" s="3" t="n">
        <v>2</v>
      </c>
      <c r="N19" s="3" t="s">
        <v>154</v>
      </c>
      <c r="O19" s="3" t="n">
        <v>60</v>
      </c>
      <c r="P19" s="3" t="s">
        <v>143</v>
      </c>
      <c r="Q19" s="3" t="s">
        <v>36</v>
      </c>
      <c r="R19" s="3" t="s">
        <v>37</v>
      </c>
      <c r="S19" s="3" t="s">
        <v>38</v>
      </c>
      <c r="T19" s="2" t="str">
        <f aca="false">IF(COUNTA(G19:K19)=5,"OK","Periksa")</f>
        <v>OK</v>
      </c>
      <c r="U19" s="2" t="str">
        <f aca="false">IF(AND(M19&gt;=1,M19&lt;=4),"OK","Periksa")</f>
        <v>OK</v>
      </c>
      <c r="V19" s="2" t="str">
        <f aca="false">IF(OR(H19=I19,H19=J19,H19=K19,I19=J19,I19=K19,J19=K19),"Periksa","OK")</f>
        <v>OK</v>
      </c>
      <c r="W19" s="2" t="str">
        <f aca="false">IF(COUNTIF(T19:V19,"Periksa")=0,"Siap","Periksa")</f>
        <v>Siap</v>
      </c>
    </row>
    <row r="20" customFormat="false" ht="31.3" hidden="false" customHeight="false" outlineLevel="0" collapsed="false">
      <c r="A20" s="2" t="n">
        <v>19</v>
      </c>
      <c r="B20" s="2" t="s">
        <v>155</v>
      </c>
      <c r="C20" s="2" t="s">
        <v>149</v>
      </c>
      <c r="D20" s="3" t="s">
        <v>72</v>
      </c>
      <c r="E20" s="3" t="s">
        <v>156</v>
      </c>
      <c r="F20" s="3" t="s">
        <v>151</v>
      </c>
      <c r="G20" s="3" t="s">
        <v>157</v>
      </c>
      <c r="H20" s="3" t="s">
        <v>82</v>
      </c>
      <c r="I20" s="3" t="s">
        <v>158</v>
      </c>
      <c r="J20" s="3" t="s">
        <v>159</v>
      </c>
      <c r="K20" s="3" t="s">
        <v>81</v>
      </c>
      <c r="L20" s="3" t="s">
        <v>47</v>
      </c>
      <c r="M20" s="3" t="n">
        <v>1</v>
      </c>
      <c r="N20" s="3" t="s">
        <v>160</v>
      </c>
      <c r="O20" s="3" t="n">
        <v>60</v>
      </c>
      <c r="P20" s="3" t="s">
        <v>143</v>
      </c>
      <c r="Q20" s="3" t="s">
        <v>36</v>
      </c>
      <c r="R20" s="3" t="s">
        <v>37</v>
      </c>
      <c r="S20" s="3" t="s">
        <v>38</v>
      </c>
      <c r="T20" s="2" t="str">
        <f aca="false">IF(COUNTA(G20:K20)=5,"OK","Periksa")</f>
        <v>OK</v>
      </c>
      <c r="U20" s="2" t="str">
        <f aca="false">IF(AND(M20&gt;=1,M20&lt;=4),"OK","Periksa")</f>
        <v>OK</v>
      </c>
      <c r="V20" s="2" t="str">
        <f aca="false">IF(OR(H20=I20,H20=J20,H20=K20,I20=J20,I20=K20,J20=K20),"Periksa","OK")</f>
        <v>OK</v>
      </c>
      <c r="W20" s="2" t="str">
        <f aca="false">IF(COUNTIF(T20:V20,"Periksa")=0,"Siap","Periksa")</f>
        <v>Siap</v>
      </c>
    </row>
    <row r="21" customFormat="false" ht="31.3" hidden="false" customHeight="false" outlineLevel="0" collapsed="false">
      <c r="A21" s="2" t="n">
        <v>20</v>
      </c>
      <c r="B21" s="2" t="s">
        <v>161</v>
      </c>
      <c r="C21" s="2" t="s">
        <v>149</v>
      </c>
      <c r="D21" s="3" t="s">
        <v>63</v>
      </c>
      <c r="E21" s="3" t="s">
        <v>162</v>
      </c>
      <c r="F21" s="3" t="s">
        <v>151</v>
      </c>
      <c r="G21" s="3" t="s">
        <v>163</v>
      </c>
      <c r="H21" s="3" t="s">
        <v>164</v>
      </c>
      <c r="I21" s="3" t="s">
        <v>146</v>
      </c>
      <c r="J21" s="3" t="s">
        <v>81</v>
      </c>
      <c r="K21" s="3" t="s">
        <v>93</v>
      </c>
      <c r="L21" s="3" t="s">
        <v>33</v>
      </c>
      <c r="M21" s="3" t="n">
        <v>2</v>
      </c>
      <c r="N21" s="3" t="s">
        <v>165</v>
      </c>
      <c r="O21" s="3" t="n">
        <v>60</v>
      </c>
      <c r="P21" s="3" t="s">
        <v>143</v>
      </c>
      <c r="Q21" s="3" t="s">
        <v>36</v>
      </c>
      <c r="R21" s="3" t="s">
        <v>37</v>
      </c>
      <c r="S21" s="3" t="s">
        <v>38</v>
      </c>
      <c r="T21" s="2" t="str">
        <f aca="false">IF(COUNTA(G21:K21)=5,"OK","Periksa")</f>
        <v>OK</v>
      </c>
      <c r="U21" s="2" t="str">
        <f aca="false">IF(AND(M21&gt;=1,M21&lt;=4),"OK","Periksa")</f>
        <v>OK</v>
      </c>
      <c r="V21" s="2" t="str">
        <f aca="false">IF(OR(H21=I21,H21=J21,H21=K21,I21=J21,I21=K21,J21=K21),"Periksa","OK")</f>
        <v>OK</v>
      </c>
      <c r="W21" s="2" t="str">
        <f aca="false">IF(COUNTIF(T21:V21,"Periksa")=0,"Siap","Periksa")</f>
        <v>Siap</v>
      </c>
    </row>
    <row r="22" customFormat="false" ht="31.3" hidden="false" customHeight="false" outlineLevel="0" collapsed="false">
      <c r="A22" s="2" t="n">
        <v>21</v>
      </c>
      <c r="B22" s="2" t="s">
        <v>166</v>
      </c>
      <c r="C22" s="2" t="s">
        <v>149</v>
      </c>
      <c r="D22" s="3" t="s">
        <v>72</v>
      </c>
      <c r="E22" s="3" t="s">
        <v>167</v>
      </c>
      <c r="F22" s="3" t="s">
        <v>151</v>
      </c>
      <c r="G22" s="3" t="s">
        <v>168</v>
      </c>
      <c r="H22" s="3" t="s">
        <v>169</v>
      </c>
      <c r="I22" s="3" t="s">
        <v>81</v>
      </c>
      <c r="J22" s="3" t="s">
        <v>86</v>
      </c>
      <c r="K22" s="3" t="s">
        <v>67</v>
      </c>
      <c r="L22" s="3" t="s">
        <v>33</v>
      </c>
      <c r="M22" s="3" t="n">
        <v>2</v>
      </c>
      <c r="N22" s="3" t="s">
        <v>170</v>
      </c>
      <c r="O22" s="3" t="n">
        <v>60</v>
      </c>
      <c r="P22" s="3" t="s">
        <v>143</v>
      </c>
      <c r="Q22" s="3" t="s">
        <v>36</v>
      </c>
      <c r="R22" s="3" t="s">
        <v>37</v>
      </c>
      <c r="S22" s="3" t="s">
        <v>38</v>
      </c>
      <c r="T22" s="2" t="str">
        <f aca="false">IF(COUNTA(G22:K22)=5,"OK","Periksa")</f>
        <v>OK</v>
      </c>
      <c r="U22" s="2" t="str">
        <f aca="false">IF(AND(M22&gt;=1,M22&lt;=4),"OK","Periksa")</f>
        <v>OK</v>
      </c>
      <c r="V22" s="2" t="str">
        <f aca="false">IF(OR(H22=I22,H22=J22,H22=K22,I22=J22,I22=K22,J22=K22),"Periksa","OK")</f>
        <v>OK</v>
      </c>
      <c r="W22" s="2" t="str">
        <f aca="false">IF(COUNTIF(T22:V22,"Periksa")=0,"Siap","Periksa")</f>
        <v>Siap</v>
      </c>
    </row>
    <row r="23" customFormat="false" ht="31.3" hidden="false" customHeight="false" outlineLevel="0" collapsed="false">
      <c r="A23" s="2" t="n">
        <v>22</v>
      </c>
      <c r="B23" s="2" t="s">
        <v>171</v>
      </c>
      <c r="C23" s="2" t="s">
        <v>149</v>
      </c>
      <c r="D23" s="3" t="s">
        <v>63</v>
      </c>
      <c r="E23" s="3" t="s">
        <v>172</v>
      </c>
      <c r="F23" s="3" t="s">
        <v>151</v>
      </c>
      <c r="G23" s="3" t="s">
        <v>173</v>
      </c>
      <c r="H23" s="3" t="s">
        <v>174</v>
      </c>
      <c r="I23" s="3" t="s">
        <v>175</v>
      </c>
      <c r="J23" s="3" t="s">
        <v>94</v>
      </c>
      <c r="K23" s="3" t="s">
        <v>139</v>
      </c>
      <c r="L23" s="3" t="s">
        <v>33</v>
      </c>
      <c r="M23" s="3" t="n">
        <v>2</v>
      </c>
      <c r="N23" s="3" t="s">
        <v>176</v>
      </c>
      <c r="O23" s="3" t="n">
        <v>60</v>
      </c>
      <c r="P23" s="3" t="s">
        <v>143</v>
      </c>
      <c r="Q23" s="3" t="s">
        <v>36</v>
      </c>
      <c r="R23" s="3" t="s">
        <v>37</v>
      </c>
      <c r="S23" s="3" t="s">
        <v>38</v>
      </c>
      <c r="T23" s="2" t="str">
        <f aca="false">IF(COUNTA(G23:K23)=5,"OK","Periksa")</f>
        <v>OK</v>
      </c>
      <c r="U23" s="2" t="str">
        <f aca="false">IF(AND(M23&gt;=1,M23&lt;=4),"OK","Periksa")</f>
        <v>OK</v>
      </c>
      <c r="V23" s="2" t="str">
        <f aca="false">IF(OR(H23=I23,H23=J23,H23=K23,I23=J23,I23=K23,J23=K23),"Periksa","OK")</f>
        <v>OK</v>
      </c>
      <c r="W23" s="2" t="str">
        <f aca="false">IF(COUNTIF(T23:V23,"Periksa")=0,"Siap","Periksa")</f>
        <v>Siap</v>
      </c>
    </row>
    <row r="24" customFormat="false" ht="31.3" hidden="false" customHeight="false" outlineLevel="0" collapsed="false">
      <c r="A24" s="2" t="n">
        <v>23</v>
      </c>
      <c r="B24" s="2" t="s">
        <v>177</v>
      </c>
      <c r="C24" s="2" t="s">
        <v>149</v>
      </c>
      <c r="D24" s="3" t="s">
        <v>72</v>
      </c>
      <c r="E24" s="3" t="s">
        <v>178</v>
      </c>
      <c r="F24" s="3" t="s">
        <v>151</v>
      </c>
      <c r="G24" s="3" t="s">
        <v>179</v>
      </c>
      <c r="H24" s="3" t="s">
        <v>180</v>
      </c>
      <c r="I24" s="3" t="s">
        <v>30</v>
      </c>
      <c r="J24" s="3" t="s">
        <v>29</v>
      </c>
      <c r="K24" s="3" t="s">
        <v>107</v>
      </c>
      <c r="L24" s="3" t="s">
        <v>33</v>
      </c>
      <c r="M24" s="3" t="n">
        <v>2</v>
      </c>
      <c r="N24" s="3" t="s">
        <v>181</v>
      </c>
      <c r="O24" s="3" t="n">
        <v>60</v>
      </c>
      <c r="P24" s="3" t="s">
        <v>143</v>
      </c>
      <c r="Q24" s="3" t="s">
        <v>36</v>
      </c>
      <c r="R24" s="3" t="s">
        <v>37</v>
      </c>
      <c r="S24" s="3" t="s">
        <v>38</v>
      </c>
      <c r="T24" s="2" t="str">
        <f aca="false">IF(COUNTA(G24:K24)=5,"OK","Periksa")</f>
        <v>OK</v>
      </c>
      <c r="U24" s="2" t="str">
        <f aca="false">IF(AND(M24&gt;=1,M24&lt;=4),"OK","Periksa")</f>
        <v>OK</v>
      </c>
      <c r="V24" s="2" t="str">
        <f aca="false">IF(OR(H24=I24,H24=J24,H24=K24,I24=J24,I24=K24,J24=K24),"Periksa","OK")</f>
        <v>OK</v>
      </c>
      <c r="W24" s="2" t="str">
        <f aca="false">IF(COUNTIF(T24:V24,"Periksa")=0,"Siap","Periksa")</f>
        <v>Siap</v>
      </c>
    </row>
    <row r="25" customFormat="false" ht="31.3" hidden="false" customHeight="false" outlineLevel="0" collapsed="false">
      <c r="A25" s="2" t="n">
        <v>24</v>
      </c>
      <c r="B25" s="2" t="s">
        <v>182</v>
      </c>
      <c r="C25" s="2" t="s">
        <v>149</v>
      </c>
      <c r="D25" s="3" t="s">
        <v>183</v>
      </c>
      <c r="E25" s="3" t="s">
        <v>184</v>
      </c>
      <c r="F25" s="3" t="s">
        <v>151</v>
      </c>
      <c r="G25" s="3" t="s">
        <v>185</v>
      </c>
      <c r="H25" s="3" t="s">
        <v>186</v>
      </c>
      <c r="I25" s="3" t="s">
        <v>187</v>
      </c>
      <c r="J25" s="3" t="s">
        <v>188</v>
      </c>
      <c r="K25" s="3" t="s">
        <v>189</v>
      </c>
      <c r="L25" s="3" t="s">
        <v>33</v>
      </c>
      <c r="M25" s="3" t="n">
        <v>2</v>
      </c>
      <c r="N25" s="3" t="s">
        <v>190</v>
      </c>
      <c r="O25" s="3" t="n">
        <v>60</v>
      </c>
      <c r="P25" s="3" t="s">
        <v>143</v>
      </c>
      <c r="Q25" s="3" t="s">
        <v>36</v>
      </c>
      <c r="R25" s="3" t="s">
        <v>37</v>
      </c>
      <c r="S25" s="3" t="s">
        <v>38</v>
      </c>
      <c r="T25" s="2" t="str">
        <f aca="false">IF(COUNTA(G25:K25)=5,"OK","Periksa")</f>
        <v>OK</v>
      </c>
      <c r="U25" s="2" t="str">
        <f aca="false">IF(AND(M25&gt;=1,M25&lt;=4),"OK","Periksa")</f>
        <v>OK</v>
      </c>
      <c r="V25" s="2" t="str">
        <f aca="false">IF(OR(H25=I25,H25=J25,H25=K25,I25=J25,I25=K25,J25=K25),"Periksa","OK")</f>
        <v>OK</v>
      </c>
      <c r="W25" s="2" t="str">
        <f aca="false">IF(COUNTIF(T25:V25,"Periksa")=0,"Siap","Periksa")</f>
        <v>Siap</v>
      </c>
    </row>
    <row r="26" customFormat="false" ht="31.3" hidden="false" customHeight="false" outlineLevel="0" collapsed="false">
      <c r="A26" s="2" t="n">
        <v>25</v>
      </c>
      <c r="B26" s="2" t="s">
        <v>191</v>
      </c>
      <c r="C26" s="2" t="s">
        <v>149</v>
      </c>
      <c r="D26" s="3" t="s">
        <v>183</v>
      </c>
      <c r="E26" s="3" t="s">
        <v>192</v>
      </c>
      <c r="F26" s="3" t="s">
        <v>151</v>
      </c>
      <c r="G26" s="3" t="s">
        <v>193</v>
      </c>
      <c r="H26" s="3" t="s">
        <v>194</v>
      </c>
      <c r="I26" s="3" t="s">
        <v>195</v>
      </c>
      <c r="J26" s="3" t="s">
        <v>196</v>
      </c>
      <c r="K26" s="3" t="s">
        <v>52</v>
      </c>
      <c r="L26" s="3" t="s">
        <v>47</v>
      </c>
      <c r="M26" s="3" t="n">
        <v>1</v>
      </c>
      <c r="N26" s="3" t="s">
        <v>197</v>
      </c>
      <c r="O26" s="3" t="n">
        <v>60</v>
      </c>
      <c r="P26" s="3" t="s">
        <v>143</v>
      </c>
      <c r="Q26" s="3" t="s">
        <v>36</v>
      </c>
      <c r="R26" s="3" t="s">
        <v>37</v>
      </c>
      <c r="S26" s="3" t="s">
        <v>38</v>
      </c>
      <c r="T26" s="2" t="str">
        <f aca="false">IF(COUNTA(G26:K26)=5,"OK","Periksa")</f>
        <v>OK</v>
      </c>
      <c r="U26" s="2" t="str">
        <f aca="false">IF(AND(M26&gt;=1,M26&lt;=4),"OK","Periksa")</f>
        <v>OK</v>
      </c>
      <c r="V26" s="2" t="str">
        <f aca="false">IF(OR(H26=I26,H26=J26,H26=K26,I26=J26,I26=K26,J26=K26),"Periksa","OK")</f>
        <v>OK</v>
      </c>
      <c r="W26" s="2" t="str">
        <f aca="false">IF(COUNTIF(T26:V26,"Periksa")=0,"Siap","Periksa")</f>
        <v>Siap</v>
      </c>
    </row>
    <row r="27" customFormat="false" ht="31.3" hidden="false" customHeight="false" outlineLevel="0" collapsed="false">
      <c r="A27" s="2" t="n">
        <v>26</v>
      </c>
      <c r="B27" s="2" t="s">
        <v>198</v>
      </c>
      <c r="C27" s="2" t="s">
        <v>149</v>
      </c>
      <c r="D27" s="3" t="s">
        <v>72</v>
      </c>
      <c r="E27" s="3" t="s">
        <v>199</v>
      </c>
      <c r="F27" s="3" t="s">
        <v>151</v>
      </c>
      <c r="G27" s="3" t="s">
        <v>200</v>
      </c>
      <c r="H27" s="3" t="s">
        <v>201</v>
      </c>
      <c r="I27" s="3" t="s">
        <v>68</v>
      </c>
      <c r="J27" s="3" t="s">
        <v>202</v>
      </c>
      <c r="K27" s="3" t="s">
        <v>153</v>
      </c>
      <c r="L27" s="3" t="s">
        <v>33</v>
      </c>
      <c r="M27" s="3" t="n">
        <v>2</v>
      </c>
      <c r="N27" s="3" t="s">
        <v>203</v>
      </c>
      <c r="O27" s="3" t="n">
        <v>60</v>
      </c>
      <c r="P27" s="3" t="s">
        <v>143</v>
      </c>
      <c r="Q27" s="3" t="s">
        <v>36</v>
      </c>
      <c r="R27" s="3" t="s">
        <v>37</v>
      </c>
      <c r="S27" s="3" t="s">
        <v>38</v>
      </c>
      <c r="T27" s="2" t="str">
        <f aca="false">IF(COUNTA(G27:K27)=5,"OK","Periksa")</f>
        <v>OK</v>
      </c>
      <c r="U27" s="2" t="str">
        <f aca="false">IF(AND(M27&gt;=1,M27&lt;=4),"OK","Periksa")</f>
        <v>OK</v>
      </c>
      <c r="V27" s="2" t="str">
        <f aca="false">IF(OR(H27=I27,H27=J27,H27=K27,I27=J27,I27=K27,J27=K27),"Periksa","OK")</f>
        <v>OK</v>
      </c>
      <c r="W27" s="2" t="str">
        <f aca="false">IF(COUNTIF(T27:V27,"Periksa")=0,"Siap","Periksa")</f>
        <v>Siap</v>
      </c>
    </row>
    <row r="28" customFormat="false" ht="31.3" hidden="false" customHeight="false" outlineLevel="0" collapsed="false">
      <c r="A28" s="2" t="n">
        <v>27</v>
      </c>
      <c r="B28" s="2" t="s">
        <v>204</v>
      </c>
      <c r="C28" s="2" t="s">
        <v>149</v>
      </c>
      <c r="D28" s="3" t="s">
        <v>63</v>
      </c>
      <c r="E28" s="3" t="s">
        <v>205</v>
      </c>
      <c r="F28" s="3" t="s">
        <v>151</v>
      </c>
      <c r="G28" s="3" t="s">
        <v>206</v>
      </c>
      <c r="H28" s="3" t="s">
        <v>94</v>
      </c>
      <c r="I28" s="3" t="s">
        <v>207</v>
      </c>
      <c r="J28" s="3" t="s">
        <v>153</v>
      </c>
      <c r="K28" s="3" t="s">
        <v>100</v>
      </c>
      <c r="L28" s="3" t="s">
        <v>33</v>
      </c>
      <c r="M28" s="3" t="n">
        <v>2</v>
      </c>
      <c r="N28" s="3" t="s">
        <v>208</v>
      </c>
      <c r="O28" s="3" t="n">
        <v>60</v>
      </c>
      <c r="P28" s="3" t="s">
        <v>143</v>
      </c>
      <c r="Q28" s="3" t="s">
        <v>36</v>
      </c>
      <c r="R28" s="3" t="s">
        <v>37</v>
      </c>
      <c r="S28" s="3" t="s">
        <v>38</v>
      </c>
      <c r="T28" s="2" t="str">
        <f aca="false">IF(COUNTA(G28:K28)=5,"OK","Periksa")</f>
        <v>OK</v>
      </c>
      <c r="U28" s="2" t="str">
        <f aca="false">IF(AND(M28&gt;=1,M28&lt;=4),"OK","Periksa")</f>
        <v>OK</v>
      </c>
      <c r="V28" s="2" t="str">
        <f aca="false">IF(OR(H28=I28,H28=J28,H28=K28,I28=J28,I28=K28,J28=K28),"Periksa","OK")</f>
        <v>OK</v>
      </c>
      <c r="W28" s="2" t="str">
        <f aca="false">IF(COUNTIF(T28:V28,"Periksa")=0,"Siap","Periksa")</f>
        <v>Siap</v>
      </c>
    </row>
    <row r="29" customFormat="false" ht="31.3" hidden="false" customHeight="false" outlineLevel="0" collapsed="false">
      <c r="A29" s="2" t="n">
        <v>28</v>
      </c>
      <c r="B29" s="2" t="s">
        <v>209</v>
      </c>
      <c r="C29" s="2" t="s">
        <v>149</v>
      </c>
      <c r="D29" s="3" t="s">
        <v>63</v>
      </c>
      <c r="E29" s="3" t="s">
        <v>210</v>
      </c>
      <c r="F29" s="3" t="s">
        <v>151</v>
      </c>
      <c r="G29" s="3" t="s">
        <v>211</v>
      </c>
      <c r="H29" s="3" t="s">
        <v>212</v>
      </c>
      <c r="I29" s="3" t="s">
        <v>213</v>
      </c>
      <c r="J29" s="3" t="s">
        <v>214</v>
      </c>
      <c r="K29" s="3" t="s">
        <v>215</v>
      </c>
      <c r="L29" s="3" t="s">
        <v>47</v>
      </c>
      <c r="M29" s="3" t="n">
        <v>1</v>
      </c>
      <c r="N29" s="3" t="s">
        <v>216</v>
      </c>
      <c r="O29" s="3" t="n">
        <v>60</v>
      </c>
      <c r="P29" s="3" t="s">
        <v>143</v>
      </c>
      <c r="Q29" s="3" t="s">
        <v>36</v>
      </c>
      <c r="R29" s="3" t="s">
        <v>37</v>
      </c>
      <c r="S29" s="3" t="s">
        <v>38</v>
      </c>
      <c r="T29" s="2" t="str">
        <f aca="false">IF(COUNTA(G29:K29)=5,"OK","Periksa")</f>
        <v>OK</v>
      </c>
      <c r="U29" s="2" t="str">
        <f aca="false">IF(AND(M29&gt;=1,M29&lt;=4),"OK","Periksa")</f>
        <v>OK</v>
      </c>
      <c r="V29" s="2" t="str">
        <f aca="false">IF(OR(H29=I29,H29=J29,H29=K29,I29=J29,I29=K29,J29=K29),"Periksa","OK")</f>
        <v>OK</v>
      </c>
      <c r="W29" s="2" t="str">
        <f aca="false">IF(COUNTIF(T29:V29,"Periksa")=0,"Siap","Periksa")</f>
        <v>Siap</v>
      </c>
    </row>
    <row r="30" customFormat="false" ht="31.3" hidden="false" customHeight="false" outlineLevel="0" collapsed="false">
      <c r="A30" s="2" t="n">
        <v>29</v>
      </c>
      <c r="B30" s="2" t="s">
        <v>217</v>
      </c>
      <c r="C30" s="2" t="s">
        <v>149</v>
      </c>
      <c r="D30" s="3" t="s">
        <v>183</v>
      </c>
      <c r="E30" s="3" t="s">
        <v>218</v>
      </c>
      <c r="F30" s="3" t="s">
        <v>151</v>
      </c>
      <c r="G30" s="3" t="s">
        <v>219</v>
      </c>
      <c r="H30" s="3" t="s">
        <v>212</v>
      </c>
      <c r="I30" s="3" t="s">
        <v>220</v>
      </c>
      <c r="J30" s="3" t="s">
        <v>221</v>
      </c>
      <c r="K30" s="3" t="s">
        <v>222</v>
      </c>
      <c r="L30" s="3" t="s">
        <v>47</v>
      </c>
      <c r="M30" s="3" t="n">
        <v>1</v>
      </c>
      <c r="N30" s="3" t="s">
        <v>223</v>
      </c>
      <c r="O30" s="3" t="n">
        <v>60</v>
      </c>
      <c r="P30" s="3" t="s">
        <v>143</v>
      </c>
      <c r="Q30" s="3" t="s">
        <v>36</v>
      </c>
      <c r="R30" s="3" t="s">
        <v>37</v>
      </c>
      <c r="S30" s="3" t="s">
        <v>38</v>
      </c>
      <c r="T30" s="2" t="str">
        <f aca="false">IF(COUNTA(G30:K30)=5,"OK","Periksa")</f>
        <v>OK</v>
      </c>
      <c r="U30" s="2" t="str">
        <f aca="false">IF(AND(M30&gt;=1,M30&lt;=4),"OK","Periksa")</f>
        <v>OK</v>
      </c>
      <c r="V30" s="2" t="str">
        <f aca="false">IF(OR(H30=I30,H30=J30,H30=K30,I30=J30,I30=K30,J30=K30),"Periksa","OK")</f>
        <v>OK</v>
      </c>
      <c r="W30" s="2" t="str">
        <f aca="false">IF(COUNTIF(T30:V30,"Periksa")=0,"Siap","Periksa")</f>
        <v>Siap</v>
      </c>
    </row>
    <row r="31" customFormat="false" ht="31.3" hidden="false" customHeight="false" outlineLevel="0" collapsed="false">
      <c r="A31" s="2" t="n">
        <v>30</v>
      </c>
      <c r="B31" s="2" t="s">
        <v>224</v>
      </c>
      <c r="C31" s="2" t="s">
        <v>149</v>
      </c>
      <c r="D31" s="3" t="s">
        <v>121</v>
      </c>
      <c r="E31" s="3" t="s">
        <v>225</v>
      </c>
      <c r="F31" s="3" t="s">
        <v>151</v>
      </c>
      <c r="G31" s="3" t="s">
        <v>226</v>
      </c>
      <c r="H31" s="3" t="s">
        <v>227</v>
      </c>
      <c r="I31" s="3" t="s">
        <v>228</v>
      </c>
      <c r="J31" s="3" t="s">
        <v>229</v>
      </c>
      <c r="K31" s="3" t="s">
        <v>230</v>
      </c>
      <c r="L31" s="3" t="s">
        <v>47</v>
      </c>
      <c r="M31" s="3" t="n">
        <v>1</v>
      </c>
      <c r="N31" s="3" t="s">
        <v>231</v>
      </c>
      <c r="O31" s="3" t="n">
        <v>60</v>
      </c>
      <c r="P31" s="3" t="s">
        <v>143</v>
      </c>
      <c r="Q31" s="3" t="s">
        <v>36</v>
      </c>
      <c r="R31" s="3" t="s">
        <v>37</v>
      </c>
      <c r="S31" s="3" t="s">
        <v>38</v>
      </c>
      <c r="T31" s="2" t="str">
        <f aca="false">IF(COUNTA(G31:K31)=5,"OK","Periksa")</f>
        <v>OK</v>
      </c>
      <c r="U31" s="2" t="str">
        <f aca="false">IF(AND(M31&gt;=1,M31&lt;=4),"OK","Periksa")</f>
        <v>OK</v>
      </c>
      <c r="V31" s="2" t="str">
        <f aca="false">IF(OR(H31=I31,H31=J31,H31=K31,I31=J31,I31=K31,J31=K31),"Periksa","OK")</f>
        <v>OK</v>
      </c>
      <c r="W31" s="2" t="str">
        <f aca="false">IF(COUNTIF(T31:V31,"Periksa")=0,"Siap","Periksa")</f>
        <v>Siap</v>
      </c>
    </row>
    <row r="32" customFormat="false" ht="46.25" hidden="false" customHeight="false" outlineLevel="0" collapsed="false">
      <c r="A32" s="2" t="n">
        <v>31</v>
      </c>
      <c r="B32" s="2" t="s">
        <v>232</v>
      </c>
      <c r="C32" s="2" t="s">
        <v>149</v>
      </c>
      <c r="D32" s="3" t="s">
        <v>121</v>
      </c>
      <c r="E32" s="3" t="s">
        <v>233</v>
      </c>
      <c r="F32" s="3" t="s">
        <v>151</v>
      </c>
      <c r="G32" s="3" t="s">
        <v>234</v>
      </c>
      <c r="H32" s="3" t="s">
        <v>235</v>
      </c>
      <c r="I32" s="3" t="s">
        <v>94</v>
      </c>
      <c r="J32" s="3" t="s">
        <v>81</v>
      </c>
      <c r="K32" s="3" t="s">
        <v>29</v>
      </c>
      <c r="L32" s="3" t="s">
        <v>47</v>
      </c>
      <c r="M32" s="3" t="n">
        <v>1</v>
      </c>
      <c r="N32" s="3" t="s">
        <v>236</v>
      </c>
      <c r="O32" s="3" t="n">
        <v>60</v>
      </c>
      <c r="P32" s="3" t="s">
        <v>237</v>
      </c>
      <c r="Q32" s="3" t="s">
        <v>36</v>
      </c>
      <c r="R32" s="3" t="s">
        <v>37</v>
      </c>
      <c r="S32" s="3" t="s">
        <v>38</v>
      </c>
      <c r="T32" s="2" t="str">
        <f aca="false">IF(COUNTA(G32:K32)=5,"OK","Periksa")</f>
        <v>OK</v>
      </c>
      <c r="U32" s="2" t="str">
        <f aca="false">IF(AND(M32&gt;=1,M32&lt;=4),"OK","Periksa")</f>
        <v>OK</v>
      </c>
      <c r="V32" s="2" t="str">
        <f aca="false">IF(OR(H32=I32,H32=J32,H32=K32,I32=J32,I32=K32,J32=K32),"Periksa","OK")</f>
        <v>OK</v>
      </c>
      <c r="W32" s="2" t="str">
        <f aca="false">IF(COUNTIF(T32:V32,"Periksa")=0,"Siap","Periksa")</f>
        <v>Siap</v>
      </c>
    </row>
    <row r="33" customFormat="false" ht="31.3" hidden="false" customHeight="false" outlineLevel="0" collapsed="false">
      <c r="A33" s="2" t="n">
        <v>32</v>
      </c>
      <c r="B33" s="2" t="s">
        <v>238</v>
      </c>
      <c r="C33" s="2" t="s">
        <v>149</v>
      </c>
      <c r="D33" s="3" t="s">
        <v>121</v>
      </c>
      <c r="E33" s="3" t="s">
        <v>239</v>
      </c>
      <c r="F33" s="3" t="s">
        <v>151</v>
      </c>
      <c r="G33" s="3" t="s">
        <v>240</v>
      </c>
      <c r="H33" s="3" t="s">
        <v>164</v>
      </c>
      <c r="I33" s="3" t="s">
        <v>241</v>
      </c>
      <c r="J33" s="3" t="s">
        <v>43</v>
      </c>
      <c r="K33" s="3" t="s">
        <v>242</v>
      </c>
      <c r="L33" s="3" t="s">
        <v>33</v>
      </c>
      <c r="M33" s="3" t="n">
        <v>2</v>
      </c>
      <c r="N33" s="3" t="s">
        <v>243</v>
      </c>
      <c r="O33" s="3" t="n">
        <v>60</v>
      </c>
      <c r="P33" s="3" t="s">
        <v>237</v>
      </c>
      <c r="Q33" s="3" t="s">
        <v>36</v>
      </c>
      <c r="R33" s="3" t="s">
        <v>37</v>
      </c>
      <c r="S33" s="3" t="s">
        <v>38</v>
      </c>
      <c r="T33" s="2" t="str">
        <f aca="false">IF(COUNTA(G33:K33)=5,"OK","Periksa")</f>
        <v>OK</v>
      </c>
      <c r="U33" s="2" t="str">
        <f aca="false">IF(AND(M33&gt;=1,M33&lt;=4),"OK","Periksa")</f>
        <v>OK</v>
      </c>
      <c r="V33" s="2" t="str">
        <f aca="false">IF(OR(H33=I33,H33=J33,H33=K33,I33=J33,I33=K33,J33=K33),"Periksa","OK")</f>
        <v>OK</v>
      </c>
      <c r="W33" s="2" t="str">
        <f aca="false">IF(COUNTIF(T33:V33,"Periksa")=0,"Siap","Periksa")</f>
        <v>Siap</v>
      </c>
    </row>
    <row r="34" customFormat="false" ht="31.3" hidden="false" customHeight="false" outlineLevel="0" collapsed="false">
      <c r="A34" s="2" t="n">
        <v>33</v>
      </c>
      <c r="B34" s="2" t="s">
        <v>244</v>
      </c>
      <c r="C34" s="2" t="s">
        <v>149</v>
      </c>
      <c r="D34" s="3" t="s">
        <v>130</v>
      </c>
      <c r="E34" s="3" t="s">
        <v>245</v>
      </c>
      <c r="F34" s="3" t="s">
        <v>151</v>
      </c>
      <c r="G34" s="3" t="s">
        <v>246</v>
      </c>
      <c r="H34" s="3" t="s">
        <v>221</v>
      </c>
      <c r="I34" s="3" t="s">
        <v>140</v>
      </c>
      <c r="J34" s="3" t="s">
        <v>247</v>
      </c>
      <c r="K34" s="3" t="s">
        <v>81</v>
      </c>
      <c r="L34" s="3" t="s">
        <v>47</v>
      </c>
      <c r="M34" s="3" t="n">
        <v>1</v>
      </c>
      <c r="N34" s="3" t="s">
        <v>248</v>
      </c>
      <c r="O34" s="3" t="n">
        <v>60</v>
      </c>
      <c r="P34" s="3" t="s">
        <v>237</v>
      </c>
      <c r="Q34" s="3" t="s">
        <v>36</v>
      </c>
      <c r="R34" s="3" t="s">
        <v>37</v>
      </c>
      <c r="S34" s="3" t="s">
        <v>38</v>
      </c>
      <c r="T34" s="2" t="str">
        <f aca="false">IF(COUNTA(G34:K34)=5,"OK","Periksa")</f>
        <v>OK</v>
      </c>
      <c r="U34" s="2" t="str">
        <f aca="false">IF(AND(M34&gt;=1,M34&lt;=4),"OK","Periksa")</f>
        <v>OK</v>
      </c>
      <c r="V34" s="2" t="str">
        <f aca="false">IF(OR(H34=I34,H34=J34,H34=K34,I34=J34,I34=K34,J34=K34),"Periksa","OK")</f>
        <v>OK</v>
      </c>
      <c r="W34" s="2" t="str">
        <f aca="false">IF(COUNTIF(T34:V34,"Periksa")=0,"Siap","Periksa")</f>
        <v>Siap</v>
      </c>
    </row>
    <row r="35" customFormat="false" ht="31.3" hidden="false" customHeight="false" outlineLevel="0" collapsed="false">
      <c r="A35" s="2" t="n">
        <v>34</v>
      </c>
      <c r="B35" s="2" t="s">
        <v>249</v>
      </c>
      <c r="C35" s="2" t="s">
        <v>149</v>
      </c>
      <c r="D35" s="3" t="s">
        <v>136</v>
      </c>
      <c r="E35" s="3" t="s">
        <v>250</v>
      </c>
      <c r="F35" s="3" t="s">
        <v>151</v>
      </c>
      <c r="G35" s="3" t="s">
        <v>251</v>
      </c>
      <c r="H35" s="3" t="s">
        <v>146</v>
      </c>
      <c r="I35" s="3" t="s">
        <v>100</v>
      </c>
      <c r="J35" s="3" t="s">
        <v>67</v>
      </c>
      <c r="K35" s="3" t="s">
        <v>252</v>
      </c>
      <c r="L35" s="3" t="s">
        <v>33</v>
      </c>
      <c r="M35" s="3" t="n">
        <v>2</v>
      </c>
      <c r="N35" s="3" t="s">
        <v>253</v>
      </c>
      <c r="O35" s="3" t="n">
        <v>60</v>
      </c>
      <c r="P35" s="3" t="s">
        <v>237</v>
      </c>
      <c r="Q35" s="3" t="s">
        <v>36</v>
      </c>
      <c r="R35" s="3" t="s">
        <v>37</v>
      </c>
      <c r="S35" s="3" t="s">
        <v>38</v>
      </c>
      <c r="T35" s="2" t="str">
        <f aca="false">IF(COUNTA(G35:K35)=5,"OK","Periksa")</f>
        <v>OK</v>
      </c>
      <c r="U35" s="2" t="str">
        <f aca="false">IF(AND(M35&gt;=1,M35&lt;=4),"OK","Periksa")</f>
        <v>OK</v>
      </c>
      <c r="V35" s="2" t="str">
        <f aca="false">IF(OR(H35=I35,H35=J35,H35=K35,I35=J35,I35=K35,J35=K35),"Periksa","OK")</f>
        <v>OK</v>
      </c>
      <c r="W35" s="2" t="str">
        <f aca="false">IF(COUNTIF(T35:V35,"Periksa")=0,"Siap","Periksa")</f>
        <v>Siap</v>
      </c>
    </row>
    <row r="36" customFormat="false" ht="31.3" hidden="false" customHeight="false" outlineLevel="0" collapsed="false">
      <c r="A36" s="2" t="n">
        <v>35</v>
      </c>
      <c r="B36" s="2" t="s">
        <v>254</v>
      </c>
      <c r="C36" s="2" t="s">
        <v>255</v>
      </c>
      <c r="D36" s="3" t="s">
        <v>136</v>
      </c>
      <c r="E36" s="3" t="s">
        <v>256</v>
      </c>
      <c r="F36" s="3" t="s">
        <v>257</v>
      </c>
      <c r="G36" s="3" t="s">
        <v>258</v>
      </c>
      <c r="H36" s="3" t="s">
        <v>189</v>
      </c>
      <c r="I36" s="3" t="s">
        <v>252</v>
      </c>
      <c r="J36" s="3" t="s">
        <v>220</v>
      </c>
      <c r="K36" s="3" t="s">
        <v>215</v>
      </c>
      <c r="L36" s="3" t="s">
        <v>47</v>
      </c>
      <c r="M36" s="3" t="n">
        <v>1</v>
      </c>
      <c r="N36" s="3" t="s">
        <v>259</v>
      </c>
      <c r="O36" s="3" t="n">
        <v>90</v>
      </c>
      <c r="P36" s="3" t="s">
        <v>237</v>
      </c>
      <c r="Q36" s="3" t="s">
        <v>36</v>
      </c>
      <c r="R36" s="3" t="s">
        <v>37</v>
      </c>
      <c r="S36" s="3" t="s">
        <v>38</v>
      </c>
      <c r="T36" s="2" t="str">
        <f aca="false">IF(COUNTA(G36:K36)=5,"OK","Periksa")</f>
        <v>OK</v>
      </c>
      <c r="U36" s="2" t="str">
        <f aca="false">IF(AND(M36&gt;=1,M36&lt;=4),"OK","Periksa")</f>
        <v>OK</v>
      </c>
      <c r="V36" s="2" t="str">
        <f aca="false">IF(OR(H36=I36,H36=J36,H36=K36,I36=J36,I36=K36,J36=K36),"Periksa","OK")</f>
        <v>OK</v>
      </c>
      <c r="W36" s="2" t="str">
        <f aca="false">IF(COUNTIF(T36:V36,"Periksa")=0,"Siap","Periksa")</f>
        <v>Siap</v>
      </c>
    </row>
    <row r="37" customFormat="false" ht="31.3" hidden="false" customHeight="false" outlineLevel="0" collapsed="false">
      <c r="A37" s="2" t="n">
        <v>36</v>
      </c>
      <c r="B37" s="2" t="s">
        <v>260</v>
      </c>
      <c r="C37" s="2" t="s">
        <v>255</v>
      </c>
      <c r="D37" s="3" t="s">
        <v>183</v>
      </c>
      <c r="E37" s="3" t="s">
        <v>261</v>
      </c>
      <c r="F37" s="3" t="s">
        <v>257</v>
      </c>
      <c r="G37" s="3" t="s">
        <v>262</v>
      </c>
      <c r="H37" s="3" t="s">
        <v>263</v>
      </c>
      <c r="I37" s="3" t="s">
        <v>264</v>
      </c>
      <c r="J37" s="3" t="s">
        <v>189</v>
      </c>
      <c r="K37" s="3" t="s">
        <v>265</v>
      </c>
      <c r="L37" s="3" t="s">
        <v>47</v>
      </c>
      <c r="M37" s="3" t="n">
        <v>1</v>
      </c>
      <c r="N37" s="3" t="s">
        <v>266</v>
      </c>
      <c r="O37" s="3" t="n">
        <v>90</v>
      </c>
      <c r="P37" s="3" t="s">
        <v>237</v>
      </c>
      <c r="Q37" s="3" t="s">
        <v>36</v>
      </c>
      <c r="R37" s="3" t="s">
        <v>37</v>
      </c>
      <c r="S37" s="3" t="s">
        <v>38</v>
      </c>
      <c r="T37" s="2" t="str">
        <f aca="false">IF(COUNTA(G37:K37)=5,"OK","Periksa")</f>
        <v>OK</v>
      </c>
      <c r="U37" s="2" t="str">
        <f aca="false">IF(AND(M37&gt;=1,M37&lt;=4),"OK","Periksa")</f>
        <v>OK</v>
      </c>
      <c r="V37" s="2" t="str">
        <f aca="false">IF(OR(H37=I37,H37=J37,H37=K37,I37=J37,I37=K37,J37=K37),"Periksa","OK")</f>
        <v>OK</v>
      </c>
      <c r="W37" s="2" t="str">
        <f aca="false">IF(COUNTIF(T37:V37,"Periksa")=0,"Siap","Periksa")</f>
        <v>Siap</v>
      </c>
    </row>
    <row r="38" customFormat="false" ht="31.3" hidden="false" customHeight="false" outlineLevel="0" collapsed="false">
      <c r="A38" s="2" t="n">
        <v>37</v>
      </c>
      <c r="B38" s="2" t="s">
        <v>267</v>
      </c>
      <c r="C38" s="2" t="s">
        <v>255</v>
      </c>
      <c r="D38" s="3" t="s">
        <v>183</v>
      </c>
      <c r="E38" s="3" t="s">
        <v>268</v>
      </c>
      <c r="F38" s="3" t="s">
        <v>257</v>
      </c>
      <c r="G38" s="3" t="s">
        <v>269</v>
      </c>
      <c r="H38" s="3" t="s">
        <v>270</v>
      </c>
      <c r="I38" s="3" t="s">
        <v>271</v>
      </c>
      <c r="J38" s="3" t="s">
        <v>272</v>
      </c>
      <c r="K38" s="3" t="s">
        <v>273</v>
      </c>
      <c r="L38" s="3" t="s">
        <v>47</v>
      </c>
      <c r="M38" s="3" t="n">
        <v>1</v>
      </c>
      <c r="N38" s="3" t="s">
        <v>274</v>
      </c>
      <c r="O38" s="3" t="n">
        <v>90</v>
      </c>
      <c r="P38" s="3" t="s">
        <v>237</v>
      </c>
      <c r="Q38" s="3" t="s">
        <v>36</v>
      </c>
      <c r="R38" s="3" t="s">
        <v>37</v>
      </c>
      <c r="S38" s="3" t="s">
        <v>38</v>
      </c>
      <c r="T38" s="2" t="str">
        <f aca="false">IF(COUNTA(G38:K38)=5,"OK","Periksa")</f>
        <v>OK</v>
      </c>
      <c r="U38" s="2" t="str">
        <f aca="false">IF(AND(M38&gt;=1,M38&lt;=4),"OK","Periksa")</f>
        <v>OK</v>
      </c>
      <c r="V38" s="2" t="str">
        <f aca="false">IF(OR(H38=I38,H38=J38,H38=K38,I38=J38,I38=K38,J38=K38),"Periksa","OK")</f>
        <v>OK</v>
      </c>
      <c r="W38" s="2" t="str">
        <f aca="false">IF(COUNTIF(T38:V38,"Periksa")=0,"Siap","Periksa")</f>
        <v>Siap</v>
      </c>
    </row>
    <row r="39" customFormat="false" ht="31.3" hidden="false" customHeight="false" outlineLevel="0" collapsed="false">
      <c r="A39" s="2" t="n">
        <v>38</v>
      </c>
      <c r="B39" s="2" t="s">
        <v>275</v>
      </c>
      <c r="C39" s="2" t="s">
        <v>255</v>
      </c>
      <c r="D39" s="3" t="s">
        <v>136</v>
      </c>
      <c r="E39" s="3" t="s">
        <v>276</v>
      </c>
      <c r="F39" s="3" t="s">
        <v>257</v>
      </c>
      <c r="G39" s="3" t="s">
        <v>277</v>
      </c>
      <c r="H39" s="3" t="s">
        <v>278</v>
      </c>
      <c r="I39" s="3" t="s">
        <v>279</v>
      </c>
      <c r="J39" s="3" t="s">
        <v>280</v>
      </c>
      <c r="K39" s="3" t="s">
        <v>221</v>
      </c>
      <c r="L39" s="3" t="s">
        <v>47</v>
      </c>
      <c r="M39" s="3" t="n">
        <v>1</v>
      </c>
      <c r="N39" s="3" t="s">
        <v>281</v>
      </c>
      <c r="O39" s="3" t="n">
        <v>90</v>
      </c>
      <c r="P39" s="3" t="s">
        <v>237</v>
      </c>
      <c r="Q39" s="3" t="s">
        <v>36</v>
      </c>
      <c r="R39" s="3" t="s">
        <v>37</v>
      </c>
      <c r="S39" s="3" t="s">
        <v>38</v>
      </c>
      <c r="T39" s="2" t="str">
        <f aca="false">IF(COUNTA(G39:K39)=5,"OK","Periksa")</f>
        <v>OK</v>
      </c>
      <c r="U39" s="2" t="str">
        <f aca="false">IF(AND(M39&gt;=1,M39&lt;=4),"OK","Periksa")</f>
        <v>OK</v>
      </c>
      <c r="V39" s="2" t="str">
        <f aca="false">IF(OR(H39=I39,H39=J39,H39=K39,I39=J39,I39=K39,J39=K39),"Periksa","OK")</f>
        <v>OK</v>
      </c>
      <c r="W39" s="2" t="str">
        <f aca="false">IF(COUNTIF(T39:V39,"Periksa")=0,"Siap","Periksa")</f>
        <v>Siap</v>
      </c>
    </row>
    <row r="40" customFormat="false" ht="31.3" hidden="false" customHeight="false" outlineLevel="0" collapsed="false">
      <c r="A40" s="2" t="n">
        <v>39</v>
      </c>
      <c r="B40" s="2" t="s">
        <v>282</v>
      </c>
      <c r="C40" s="2" t="s">
        <v>255</v>
      </c>
      <c r="D40" s="3" t="s">
        <v>283</v>
      </c>
      <c r="E40" s="3" t="s">
        <v>284</v>
      </c>
      <c r="F40" s="3" t="s">
        <v>257</v>
      </c>
      <c r="G40" s="3" t="s">
        <v>285</v>
      </c>
      <c r="H40" s="3" t="s">
        <v>286</v>
      </c>
      <c r="I40" s="3" t="s">
        <v>287</v>
      </c>
      <c r="J40" s="3" t="s">
        <v>288</v>
      </c>
      <c r="K40" s="3" t="s">
        <v>289</v>
      </c>
      <c r="L40" s="3" t="s">
        <v>47</v>
      </c>
      <c r="M40" s="3" t="n">
        <v>1</v>
      </c>
      <c r="N40" s="3" t="s">
        <v>290</v>
      </c>
      <c r="O40" s="3" t="n">
        <v>90</v>
      </c>
      <c r="P40" s="3" t="s">
        <v>237</v>
      </c>
      <c r="Q40" s="3" t="s">
        <v>36</v>
      </c>
      <c r="R40" s="3" t="s">
        <v>37</v>
      </c>
      <c r="S40" s="3" t="s">
        <v>38</v>
      </c>
      <c r="T40" s="2" t="str">
        <f aca="false">IF(COUNTA(G40:K40)=5,"OK","Periksa")</f>
        <v>OK</v>
      </c>
      <c r="U40" s="2" t="str">
        <f aca="false">IF(AND(M40&gt;=1,M40&lt;=4),"OK","Periksa")</f>
        <v>OK</v>
      </c>
      <c r="V40" s="2" t="str">
        <f aca="false">IF(OR(H40=I40,H40=J40,H40=K40,I40=J40,I40=K40,J40=K40),"Periksa","OK")</f>
        <v>OK</v>
      </c>
      <c r="W40" s="2" t="str">
        <f aca="false">IF(COUNTIF(T40:V40,"Periksa")=0,"Siap","Periksa")</f>
        <v>Siap</v>
      </c>
    </row>
    <row r="41" customFormat="false" ht="31.3" hidden="false" customHeight="false" outlineLevel="0" collapsed="false">
      <c r="A41" s="2" t="n">
        <v>40</v>
      </c>
      <c r="B41" s="2" t="s">
        <v>291</v>
      </c>
      <c r="C41" s="2" t="s">
        <v>255</v>
      </c>
      <c r="D41" s="3" t="s">
        <v>283</v>
      </c>
      <c r="E41" s="3" t="s">
        <v>292</v>
      </c>
      <c r="F41" s="3" t="s">
        <v>257</v>
      </c>
      <c r="G41" s="3" t="s">
        <v>293</v>
      </c>
      <c r="H41" s="3" t="s">
        <v>294</v>
      </c>
      <c r="I41" s="3" t="s">
        <v>295</v>
      </c>
      <c r="J41" s="3" t="s">
        <v>296</v>
      </c>
      <c r="K41" s="3" t="s">
        <v>297</v>
      </c>
      <c r="L41" s="3" t="s">
        <v>47</v>
      </c>
      <c r="M41" s="3" t="n">
        <v>1</v>
      </c>
      <c r="N41" s="3" t="s">
        <v>298</v>
      </c>
      <c r="O41" s="3" t="n">
        <v>90</v>
      </c>
      <c r="P41" s="3" t="s">
        <v>237</v>
      </c>
      <c r="Q41" s="3" t="s">
        <v>36</v>
      </c>
      <c r="R41" s="3" t="s">
        <v>37</v>
      </c>
      <c r="S41" s="3" t="s">
        <v>38</v>
      </c>
      <c r="T41" s="2" t="str">
        <f aca="false">IF(COUNTA(G41:K41)=5,"OK","Periksa")</f>
        <v>OK</v>
      </c>
      <c r="U41" s="2" t="str">
        <f aca="false">IF(AND(M41&gt;=1,M41&lt;=4),"OK","Periksa")</f>
        <v>OK</v>
      </c>
      <c r="V41" s="2" t="str">
        <f aca="false">IF(OR(H41=I41,H41=J41,H41=K41,I41=J41,I41=K41,J41=K41),"Periksa","OK")</f>
        <v>OK</v>
      </c>
      <c r="W41" s="2" t="str">
        <f aca="false">IF(COUNTIF(T41:V41,"Periksa")=0,"Siap","Periksa")</f>
        <v>Siap</v>
      </c>
    </row>
    <row r="42" customFormat="false" ht="61.15" hidden="false" customHeight="false" outlineLevel="0" collapsed="false">
      <c r="A42" s="2" t="n">
        <v>41</v>
      </c>
      <c r="B42" s="2" t="s">
        <v>299</v>
      </c>
      <c r="C42" s="2" t="s">
        <v>255</v>
      </c>
      <c r="D42" s="3" t="s">
        <v>130</v>
      </c>
      <c r="E42" s="3" t="s">
        <v>300</v>
      </c>
      <c r="F42" s="3" t="s">
        <v>257</v>
      </c>
      <c r="G42" s="3" t="s">
        <v>301</v>
      </c>
      <c r="H42" s="3" t="s">
        <v>174</v>
      </c>
      <c r="I42" s="3" t="s">
        <v>302</v>
      </c>
      <c r="J42" s="3" t="s">
        <v>29</v>
      </c>
      <c r="K42" s="3" t="s">
        <v>53</v>
      </c>
      <c r="L42" s="3" t="s">
        <v>47</v>
      </c>
      <c r="M42" s="3" t="n">
        <v>1</v>
      </c>
      <c r="N42" s="3" t="s">
        <v>303</v>
      </c>
      <c r="O42" s="3" t="n">
        <v>90</v>
      </c>
      <c r="P42" s="3" t="s">
        <v>237</v>
      </c>
      <c r="Q42" s="3" t="s">
        <v>36</v>
      </c>
      <c r="R42" s="3" t="s">
        <v>37</v>
      </c>
      <c r="S42" s="3" t="s">
        <v>38</v>
      </c>
      <c r="T42" s="2" t="str">
        <f aca="false">IF(COUNTA(G42:K42)=5,"OK","Periksa")</f>
        <v>OK</v>
      </c>
      <c r="U42" s="2" t="str">
        <f aca="false">IF(AND(M42&gt;=1,M42&lt;=4),"OK","Periksa")</f>
        <v>OK</v>
      </c>
      <c r="V42" s="2" t="str">
        <f aca="false">IF(OR(H42=I42,H42=J42,H42=K42,I42=J42,I42=K42,J42=K42),"Periksa","OK")</f>
        <v>OK</v>
      </c>
      <c r="W42" s="2" t="str">
        <f aca="false">IF(COUNTIF(T42:V42,"Periksa")=0,"Siap","Periksa")</f>
        <v>Siap</v>
      </c>
    </row>
    <row r="43" customFormat="false" ht="46.25" hidden="false" customHeight="false" outlineLevel="0" collapsed="false">
      <c r="A43" s="2" t="n">
        <v>42</v>
      </c>
      <c r="B43" s="2" t="s">
        <v>304</v>
      </c>
      <c r="C43" s="2" t="s">
        <v>255</v>
      </c>
      <c r="D43" s="3" t="s">
        <v>121</v>
      </c>
      <c r="E43" s="3" t="s">
        <v>305</v>
      </c>
      <c r="F43" s="3" t="s">
        <v>257</v>
      </c>
      <c r="G43" s="3" t="s">
        <v>306</v>
      </c>
      <c r="H43" s="3" t="s">
        <v>307</v>
      </c>
      <c r="I43" s="3" t="s">
        <v>308</v>
      </c>
      <c r="J43" s="3" t="s">
        <v>309</v>
      </c>
      <c r="K43" s="3" t="s">
        <v>310</v>
      </c>
      <c r="L43" s="3" t="s">
        <v>47</v>
      </c>
      <c r="M43" s="3" t="n">
        <v>1</v>
      </c>
      <c r="N43" s="3" t="s">
        <v>311</v>
      </c>
      <c r="O43" s="3" t="n">
        <v>90</v>
      </c>
      <c r="P43" s="3" t="s">
        <v>237</v>
      </c>
      <c r="Q43" s="3" t="s">
        <v>36</v>
      </c>
      <c r="R43" s="3" t="s">
        <v>37</v>
      </c>
      <c r="S43" s="3" t="s">
        <v>38</v>
      </c>
      <c r="T43" s="2" t="str">
        <f aca="false">IF(COUNTA(G43:K43)=5,"OK","Periksa")</f>
        <v>OK</v>
      </c>
      <c r="U43" s="2" t="str">
        <f aca="false">IF(AND(M43&gt;=1,M43&lt;=4),"OK","Periksa")</f>
        <v>OK</v>
      </c>
      <c r="V43" s="2" t="str">
        <f aca="false">IF(OR(H43=I43,H43=J43,H43=K43,I43=J43,I43=K43,J43=K43),"Periksa","OK")</f>
        <v>OK</v>
      </c>
      <c r="W43" s="2" t="str">
        <f aca="false">IF(COUNTIF(T43:V43,"Periksa")=0,"Siap","Periksa")</f>
        <v>Siap</v>
      </c>
    </row>
    <row r="44" customFormat="false" ht="31.3" hidden="false" customHeight="false" outlineLevel="0" collapsed="false">
      <c r="A44" s="2" t="n">
        <v>43</v>
      </c>
      <c r="B44" s="2" t="s">
        <v>312</v>
      </c>
      <c r="C44" s="2" t="s">
        <v>255</v>
      </c>
      <c r="D44" s="3" t="s">
        <v>136</v>
      </c>
      <c r="E44" s="3" t="s">
        <v>313</v>
      </c>
      <c r="F44" s="3" t="s">
        <v>257</v>
      </c>
      <c r="G44" s="3" t="s">
        <v>314</v>
      </c>
      <c r="H44" s="3" t="s">
        <v>315</v>
      </c>
      <c r="I44" s="3" t="s">
        <v>316</v>
      </c>
      <c r="J44" s="3" t="s">
        <v>214</v>
      </c>
      <c r="K44" s="3" t="s">
        <v>215</v>
      </c>
      <c r="L44" s="3" t="s">
        <v>47</v>
      </c>
      <c r="M44" s="3" t="n">
        <v>1</v>
      </c>
      <c r="N44" s="3" t="s">
        <v>317</v>
      </c>
      <c r="O44" s="3" t="n">
        <v>90</v>
      </c>
      <c r="P44" s="3" t="s">
        <v>237</v>
      </c>
      <c r="Q44" s="3" t="s">
        <v>36</v>
      </c>
      <c r="R44" s="3" t="s">
        <v>37</v>
      </c>
      <c r="S44" s="3" t="s">
        <v>38</v>
      </c>
      <c r="T44" s="2" t="str">
        <f aca="false">IF(COUNTA(G44:K44)=5,"OK","Periksa")</f>
        <v>OK</v>
      </c>
      <c r="U44" s="2" t="str">
        <f aca="false">IF(AND(M44&gt;=1,M44&lt;=4),"OK","Periksa")</f>
        <v>OK</v>
      </c>
      <c r="V44" s="2" t="str">
        <f aca="false">IF(OR(H44=I44,H44=J44,H44=K44,I44=J44,I44=K44,J44=K44),"Periksa","OK")</f>
        <v>OK</v>
      </c>
      <c r="W44" s="2" t="str">
        <f aca="false">IF(COUNTIF(T44:V44,"Periksa")=0,"Siap","Periksa")</f>
        <v>Siap</v>
      </c>
    </row>
    <row r="45" customFormat="false" ht="31.3" hidden="false" customHeight="false" outlineLevel="0" collapsed="false">
      <c r="A45" s="2" t="n">
        <v>44</v>
      </c>
      <c r="B45" s="2" t="s">
        <v>318</v>
      </c>
      <c r="C45" s="2" t="s">
        <v>255</v>
      </c>
      <c r="D45" s="3" t="s">
        <v>319</v>
      </c>
      <c r="E45" s="3" t="s">
        <v>320</v>
      </c>
      <c r="F45" s="3" t="s">
        <v>257</v>
      </c>
      <c r="G45" s="3" t="s">
        <v>321</v>
      </c>
      <c r="H45" s="3" t="s">
        <v>68</v>
      </c>
      <c r="I45" s="3" t="s">
        <v>235</v>
      </c>
      <c r="J45" s="3" t="s">
        <v>69</v>
      </c>
      <c r="K45" s="3" t="s">
        <v>322</v>
      </c>
      <c r="L45" s="3" t="s">
        <v>47</v>
      </c>
      <c r="M45" s="3" t="n">
        <v>1</v>
      </c>
      <c r="N45" s="3" t="s">
        <v>323</v>
      </c>
      <c r="O45" s="3" t="n">
        <v>90</v>
      </c>
      <c r="P45" s="3" t="s">
        <v>237</v>
      </c>
      <c r="Q45" s="3" t="s">
        <v>36</v>
      </c>
      <c r="R45" s="3" t="s">
        <v>37</v>
      </c>
      <c r="S45" s="3" t="s">
        <v>38</v>
      </c>
      <c r="T45" s="2" t="str">
        <f aca="false">IF(COUNTA(G45:K45)=5,"OK","Periksa")</f>
        <v>OK</v>
      </c>
      <c r="U45" s="2" t="str">
        <f aca="false">IF(AND(M45&gt;=1,M45&lt;=4),"OK","Periksa")</f>
        <v>OK</v>
      </c>
      <c r="V45" s="2" t="str">
        <f aca="false">IF(OR(H45=I45,H45=J45,H45=K45,I45=J45,I45=K45,J45=K45),"Periksa","OK")</f>
        <v>OK</v>
      </c>
      <c r="W45" s="2" t="str">
        <f aca="false">IF(COUNTIF(T45:V45,"Periksa")=0,"Siap","Periksa")</f>
        <v>Siap</v>
      </c>
    </row>
    <row r="46" customFormat="false" ht="31.3" hidden="false" customHeight="false" outlineLevel="0" collapsed="false">
      <c r="A46" s="2" t="n">
        <v>45</v>
      </c>
      <c r="B46" s="2" t="s">
        <v>324</v>
      </c>
      <c r="C46" s="2" t="s">
        <v>255</v>
      </c>
      <c r="D46" s="3" t="s">
        <v>319</v>
      </c>
      <c r="E46" s="3" t="s">
        <v>319</v>
      </c>
      <c r="F46" s="3" t="s">
        <v>257</v>
      </c>
      <c r="G46" s="3" t="s">
        <v>325</v>
      </c>
      <c r="H46" s="3" t="s">
        <v>146</v>
      </c>
      <c r="I46" s="3" t="s">
        <v>235</v>
      </c>
      <c r="J46" s="3" t="s">
        <v>326</v>
      </c>
      <c r="K46" s="3" t="s">
        <v>327</v>
      </c>
      <c r="L46" s="3" t="s">
        <v>47</v>
      </c>
      <c r="M46" s="3" t="n">
        <v>1</v>
      </c>
      <c r="N46" s="3" t="s">
        <v>328</v>
      </c>
      <c r="O46" s="3" t="n">
        <v>90</v>
      </c>
      <c r="P46" s="3" t="s">
        <v>237</v>
      </c>
      <c r="Q46" s="3" t="s">
        <v>36</v>
      </c>
      <c r="R46" s="3" t="s">
        <v>37</v>
      </c>
      <c r="S46" s="3" t="s">
        <v>38</v>
      </c>
      <c r="T46" s="2" t="str">
        <f aca="false">IF(COUNTA(G46:K46)=5,"OK","Periksa")</f>
        <v>OK</v>
      </c>
      <c r="U46" s="2" t="str">
        <f aca="false">IF(AND(M46&gt;=1,M46&lt;=4),"OK","Periksa")</f>
        <v>OK</v>
      </c>
      <c r="V46" s="2" t="str">
        <f aca="false">IF(OR(H46=I46,H46=J46,H46=K46,I46=J46,I46=K46,J46=K46),"Periksa","OK")</f>
        <v>OK</v>
      </c>
      <c r="W46" s="2" t="str">
        <f aca="false">IF(COUNTIF(T46:V46,"Periksa")=0,"Siap","Periksa")</f>
        <v>Siap</v>
      </c>
    </row>
    <row r="47" customFormat="false" ht="31.3" hidden="false" customHeight="false" outlineLevel="0" collapsed="false">
      <c r="A47" s="2" t="n">
        <v>46</v>
      </c>
      <c r="B47" s="2" t="s">
        <v>329</v>
      </c>
      <c r="C47" s="2" t="s">
        <v>255</v>
      </c>
      <c r="D47" s="3" t="s">
        <v>319</v>
      </c>
      <c r="E47" s="3" t="s">
        <v>330</v>
      </c>
      <c r="F47" s="3" t="s">
        <v>257</v>
      </c>
      <c r="G47" s="3" t="s">
        <v>331</v>
      </c>
      <c r="H47" s="3" t="s">
        <v>332</v>
      </c>
      <c r="I47" s="3" t="s">
        <v>175</v>
      </c>
      <c r="J47" s="3" t="s">
        <v>333</v>
      </c>
      <c r="K47" s="3" t="s">
        <v>52</v>
      </c>
      <c r="L47" s="3" t="s">
        <v>47</v>
      </c>
      <c r="M47" s="3" t="n">
        <v>1</v>
      </c>
      <c r="N47" s="3" t="s">
        <v>334</v>
      </c>
      <c r="O47" s="3" t="n">
        <v>90</v>
      </c>
      <c r="P47" s="3" t="s">
        <v>335</v>
      </c>
      <c r="Q47" s="3" t="s">
        <v>36</v>
      </c>
      <c r="R47" s="3" t="s">
        <v>37</v>
      </c>
      <c r="S47" s="3" t="s">
        <v>38</v>
      </c>
      <c r="T47" s="2" t="str">
        <f aca="false">IF(COUNTA(G47:K47)=5,"OK","Periksa")</f>
        <v>OK</v>
      </c>
      <c r="U47" s="2" t="str">
        <f aca="false">IF(AND(M47&gt;=1,M47&lt;=4),"OK","Periksa")</f>
        <v>OK</v>
      </c>
      <c r="V47" s="2" t="str">
        <f aca="false">IF(OR(H47=I47,H47=J47,H47=K47,I47=J47,I47=K47,J47=K47),"Periksa","OK")</f>
        <v>OK</v>
      </c>
      <c r="W47" s="2" t="str">
        <f aca="false">IF(COUNTIF(T47:V47,"Periksa")=0,"Siap","Periksa")</f>
        <v>Siap</v>
      </c>
    </row>
    <row r="48" customFormat="false" ht="46.25" hidden="false" customHeight="false" outlineLevel="0" collapsed="false">
      <c r="A48" s="2" t="n">
        <v>47</v>
      </c>
      <c r="B48" s="2" t="s">
        <v>336</v>
      </c>
      <c r="C48" s="2" t="s">
        <v>255</v>
      </c>
      <c r="D48" s="3" t="s">
        <v>130</v>
      </c>
      <c r="E48" s="3" t="s">
        <v>337</v>
      </c>
      <c r="F48" s="3" t="s">
        <v>257</v>
      </c>
      <c r="G48" s="3" t="s">
        <v>338</v>
      </c>
      <c r="H48" s="3" t="s">
        <v>29</v>
      </c>
      <c r="I48" s="3" t="s">
        <v>30</v>
      </c>
      <c r="J48" s="3" t="s">
        <v>81</v>
      </c>
      <c r="K48" s="3" t="s">
        <v>32</v>
      </c>
      <c r="L48" s="3" t="s">
        <v>47</v>
      </c>
      <c r="M48" s="3" t="n">
        <v>1</v>
      </c>
      <c r="N48" s="3" t="s">
        <v>339</v>
      </c>
      <c r="O48" s="3" t="n">
        <v>90</v>
      </c>
      <c r="P48" s="3" t="s">
        <v>335</v>
      </c>
      <c r="Q48" s="3" t="s">
        <v>36</v>
      </c>
      <c r="R48" s="3" t="s">
        <v>37</v>
      </c>
      <c r="S48" s="3" t="s">
        <v>38</v>
      </c>
      <c r="T48" s="2" t="str">
        <f aca="false">IF(COUNTA(G48:K48)=5,"OK","Periksa")</f>
        <v>OK</v>
      </c>
      <c r="U48" s="2" t="str">
        <f aca="false">IF(AND(M48&gt;=1,M48&lt;=4),"OK","Periksa")</f>
        <v>OK</v>
      </c>
      <c r="V48" s="2" t="str">
        <f aca="false">IF(OR(H48=I48,H48=J48,H48=K48,I48=J48,I48=K48,J48=K48),"Periksa","OK")</f>
        <v>OK</v>
      </c>
      <c r="W48" s="2" t="str">
        <f aca="false">IF(COUNTIF(T48:V48,"Periksa")=0,"Siap","Periksa")</f>
        <v>Siap</v>
      </c>
    </row>
    <row r="49" customFormat="false" ht="46.25" hidden="false" customHeight="false" outlineLevel="0" collapsed="false">
      <c r="A49" s="2" t="n">
        <v>48</v>
      </c>
      <c r="B49" s="2" t="s">
        <v>340</v>
      </c>
      <c r="C49" s="2" t="s">
        <v>255</v>
      </c>
      <c r="D49" s="3" t="s">
        <v>130</v>
      </c>
      <c r="E49" s="3" t="s">
        <v>341</v>
      </c>
      <c r="F49" s="3" t="s">
        <v>257</v>
      </c>
      <c r="G49" s="3" t="s">
        <v>342</v>
      </c>
      <c r="H49" s="3" t="s">
        <v>343</v>
      </c>
      <c r="I49" s="3" t="s">
        <v>344</v>
      </c>
      <c r="J49" s="3" t="s">
        <v>345</v>
      </c>
      <c r="K49" s="3" t="s">
        <v>202</v>
      </c>
      <c r="L49" s="3" t="s">
        <v>47</v>
      </c>
      <c r="M49" s="3" t="n">
        <v>1</v>
      </c>
      <c r="N49" s="3" t="s">
        <v>346</v>
      </c>
      <c r="O49" s="3" t="n">
        <v>90</v>
      </c>
      <c r="P49" s="3" t="s">
        <v>335</v>
      </c>
      <c r="Q49" s="3" t="s">
        <v>36</v>
      </c>
      <c r="R49" s="3" t="s">
        <v>37</v>
      </c>
      <c r="S49" s="3" t="s">
        <v>38</v>
      </c>
      <c r="T49" s="2" t="str">
        <f aca="false">IF(COUNTA(G49:K49)=5,"OK","Periksa")</f>
        <v>OK</v>
      </c>
      <c r="U49" s="2" t="str">
        <f aca="false">IF(AND(M49&gt;=1,M49&lt;=4),"OK","Periksa")</f>
        <v>OK</v>
      </c>
      <c r="V49" s="2" t="str">
        <f aca="false">IF(OR(H49=I49,H49=J49,H49=K49,I49=J49,I49=K49,J49=K49),"Periksa","OK")</f>
        <v>OK</v>
      </c>
      <c r="W49" s="2" t="str">
        <f aca="false">IF(COUNTIF(T49:V49,"Periksa")=0,"Siap","Periksa")</f>
        <v>Siap</v>
      </c>
    </row>
    <row r="50" customFormat="false" ht="31.3" hidden="false" customHeight="false" outlineLevel="0" collapsed="false">
      <c r="A50" s="2" t="n">
        <v>49</v>
      </c>
      <c r="B50" s="2" t="s">
        <v>347</v>
      </c>
      <c r="C50" s="2" t="s">
        <v>255</v>
      </c>
      <c r="D50" s="3" t="s">
        <v>348</v>
      </c>
      <c r="E50" s="3" t="s">
        <v>349</v>
      </c>
      <c r="F50" s="3" t="s">
        <v>257</v>
      </c>
      <c r="G50" s="3" t="s">
        <v>350</v>
      </c>
      <c r="H50" s="3" t="s">
        <v>351</v>
      </c>
      <c r="I50" s="3" t="s">
        <v>352</v>
      </c>
      <c r="J50" s="3" t="s">
        <v>353</v>
      </c>
      <c r="K50" s="3" t="s">
        <v>354</v>
      </c>
      <c r="L50" s="3" t="s">
        <v>47</v>
      </c>
      <c r="M50" s="3" t="n">
        <v>1</v>
      </c>
      <c r="N50" s="3" t="s">
        <v>355</v>
      </c>
      <c r="O50" s="3" t="n">
        <v>90</v>
      </c>
      <c r="P50" s="3" t="s">
        <v>335</v>
      </c>
      <c r="Q50" s="3" t="s">
        <v>36</v>
      </c>
      <c r="R50" s="3" t="s">
        <v>37</v>
      </c>
      <c r="S50" s="3" t="s">
        <v>38</v>
      </c>
      <c r="T50" s="2" t="str">
        <f aca="false">IF(COUNTA(G50:K50)=5,"OK","Periksa")</f>
        <v>OK</v>
      </c>
      <c r="U50" s="2" t="str">
        <f aca="false">IF(AND(M50&gt;=1,M50&lt;=4),"OK","Periksa")</f>
        <v>OK</v>
      </c>
      <c r="V50" s="2" t="str">
        <f aca="false">IF(OR(H50=I50,H50=J50,H50=K50,I50=J50,I50=K50,J50=K50),"Periksa","OK")</f>
        <v>OK</v>
      </c>
      <c r="W50" s="2" t="str">
        <f aca="false">IF(COUNTIF(T50:V50,"Periksa")=0,"Siap","Periksa")</f>
        <v>Siap</v>
      </c>
    </row>
    <row r="51" customFormat="false" ht="46.25" hidden="false" customHeight="false" outlineLevel="0" collapsed="false">
      <c r="A51" s="2" t="n">
        <v>50</v>
      </c>
      <c r="B51" s="2" t="s">
        <v>356</v>
      </c>
      <c r="C51" s="2" t="s">
        <v>255</v>
      </c>
      <c r="D51" s="3" t="s">
        <v>283</v>
      </c>
      <c r="E51" s="3" t="s">
        <v>357</v>
      </c>
      <c r="F51" s="3" t="s">
        <v>257</v>
      </c>
      <c r="G51" s="3" t="s">
        <v>358</v>
      </c>
      <c r="H51" s="3" t="s">
        <v>359</v>
      </c>
      <c r="I51" s="3" t="s">
        <v>360</v>
      </c>
      <c r="J51" s="3" t="s">
        <v>361</v>
      </c>
      <c r="K51" s="3" t="s">
        <v>362</v>
      </c>
      <c r="L51" s="3" t="s">
        <v>47</v>
      </c>
      <c r="M51" s="3" t="n">
        <v>1</v>
      </c>
      <c r="N51" s="3" t="s">
        <v>363</v>
      </c>
      <c r="O51" s="3" t="n">
        <v>90</v>
      </c>
      <c r="P51" s="3" t="s">
        <v>335</v>
      </c>
      <c r="Q51" s="3" t="s">
        <v>36</v>
      </c>
      <c r="R51" s="3" t="s">
        <v>37</v>
      </c>
      <c r="S51" s="3" t="s">
        <v>38</v>
      </c>
      <c r="T51" s="2" t="str">
        <f aca="false">IF(COUNTA(G51:K51)=5,"OK","Periksa")</f>
        <v>OK</v>
      </c>
      <c r="U51" s="2" t="str">
        <f aca="false">IF(AND(M51&gt;=1,M51&lt;=4),"OK","Periksa")</f>
        <v>OK</v>
      </c>
      <c r="V51" s="2" t="str">
        <f aca="false">IF(OR(H51=I51,H51=J51,H51=K51,I51=J51,I51=K51,J51=K51),"Periksa","OK")</f>
        <v>OK</v>
      </c>
      <c r="W51" s="2" t="str">
        <f aca="false">IF(COUNTIF(T51:V51,"Periksa")=0,"Siap","Periksa")</f>
        <v>Siap</v>
      </c>
    </row>
  </sheetData>
  <conditionalFormatting sqref="C2:C51">
    <cfRule type="expression" priority="2" aboveAverage="0" equalAverage="0" bottom="0" percent="0" rank="0" text="" dxfId="0">
      <formula>C2="Mudah"</formula>
    </cfRule>
    <cfRule type="expression" priority="3" aboveAverage="0" equalAverage="0" bottom="0" percent="0" rank="0" text="" dxfId="1">
      <formula>C2="Sedang"</formula>
    </cfRule>
    <cfRule type="expression" priority="4" aboveAverage="0" equalAverage="0" bottom="0" percent="0" rank="0" text="" dxfId="2">
      <formula>C2="Sulit"</formula>
    </cfRule>
  </conditionalFormatting>
  <conditionalFormatting sqref="W2:W51">
    <cfRule type="expression" priority="5" aboveAverage="0" equalAverage="0" bottom="0" percent="0" rank="0" text="" dxfId="3">
      <formula>W2="Periksa"</formula>
    </cfRule>
    <cfRule type="expression" priority="6" aboveAverage="0" equalAverage="0" bottom="0" percent="0" rank="0" text="" dxfId="4">
      <formula>W2="Siap"</formula>
    </cfRule>
  </conditionalFormatting>
  <dataValidations count="3">
    <dataValidation allowBlank="false" errorStyle="stop" operator="between" showDropDown="false" showErrorMessage="false" showInputMessage="false" sqref="C2:C51" type="list">
      <formula1>"Mudah,Sedang,Sulit"</formula1>
      <formula2>0</formula2>
    </dataValidation>
    <dataValidation allowBlank="false" errorStyle="stop" operator="between" showDropDown="false" showErrorMessage="false" showInputMessage="false" sqref="P2:P51" type="list">
      <formula1>"Sesi 1 - Pemetaan,Sesi 2 - Latihan,Sesi 3 - Pendalaman,Cadangan/Pengayaan"</formula1>
      <formula2>0</formula2>
    </dataValidation>
    <dataValidation allowBlank="false" errorStyle="stop" operator="between" showDropDown="false" showErrorMessage="false" showInputMessage="false" sqref="S2:S51" type="list">
      <formula1>"Siap ditinjau guru,Disetujui,Perlu revisi"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2026-09-10T09:31:13Z</dcterms:created>
  <dc:creator/>
  <dc:description/>
  <dc:language>en-US</dc:language>
  <cp:lastModifiedBy/>
  <dcterms:modified xsi:type="dcterms:W3CDTF">2026-09-10T09:31:41Z</dcterms:modified>
  <cp:revision>1</cp:revision>
  <dc:subject/>
  <dc:title/>
</cp:coreProperties>
</file>